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830" codeName="{861861EC-F77C-3E69-5087-FD670AB338C4}"/>
  <workbookPr codeName="ThisWorkbook"/>
  <mc:AlternateContent xmlns:mc="http://schemas.openxmlformats.org/markup-compatibility/2006">
    <mc:Choice Requires="x15">
      <x15ac:absPath xmlns:x15ac="http://schemas.microsoft.com/office/spreadsheetml/2010/11/ac" url="C:\Users\BLIEN\Dropbox\iButton\Workbook Tool\Single-Event Tool\Steady-State SE\Beta Testing\"/>
    </mc:Choice>
  </mc:AlternateContent>
  <bookViews>
    <workbookView xWindow="2676" yWindow="1739" windowWidth="32767" windowHeight="18204"/>
  </bookViews>
  <sheets>
    <sheet name="Read Me" sheetId="5" r:id="rId1"/>
    <sheet name="Tutorial" sheetId="6" r:id="rId2"/>
    <sheet name="Bredehoeft" sheetId="2" r:id="rId3"/>
    <sheet name="Schmidt" sheetId="3" r:id="rId4"/>
    <sheet name="Test Data" sheetId="9" r:id="rId5"/>
    <sheet name="Parameter Metadata" sheetId="8" r:id="rId6"/>
    <sheet name="Contacts" sheetId="7" r:id="rId7"/>
  </sheets>
  <definedNames>
    <definedName name="solver_adj" localSheetId="2" hidden="1">Bredehoeft!$C$27</definedName>
    <definedName name="solver_adj" localSheetId="3" hidden="1">Schmidt!$C$27</definedName>
    <definedName name="solver_cvg" localSheetId="2" hidden="1">0.0000001</definedName>
    <definedName name="solver_cvg" localSheetId="3" hidden="1">0.0001</definedName>
    <definedName name="solver_drv" localSheetId="2" hidden="1">1</definedName>
    <definedName name="solver_drv" localSheetId="3" hidden="1">1</definedName>
    <definedName name="solver_eng" localSheetId="2" hidden="1">1</definedName>
    <definedName name="solver_eng" localSheetId="3" hidden="1">1</definedName>
    <definedName name="solver_est" localSheetId="2" hidden="1">1</definedName>
    <definedName name="solver_est" localSheetId="3" hidden="1">1</definedName>
    <definedName name="solver_itr" localSheetId="2" hidden="1">32760</definedName>
    <definedName name="solver_itr" localSheetId="3" hidden="1">2147483647</definedName>
    <definedName name="solver_lin" localSheetId="2" hidden="1">2</definedName>
    <definedName name="solver_mip" localSheetId="2" hidden="1">2147483647</definedName>
    <definedName name="solver_mip" localSheetId="3" hidden="1">2147483647</definedName>
    <definedName name="solver_mni" localSheetId="2" hidden="1">30</definedName>
    <definedName name="solver_mni" localSheetId="3" hidden="1">30</definedName>
    <definedName name="solver_mrt" localSheetId="2" hidden="1">0.075</definedName>
    <definedName name="solver_mrt" localSheetId="3" hidden="1">0.075</definedName>
    <definedName name="solver_msl" localSheetId="2" hidden="1">2</definedName>
    <definedName name="solver_msl" localSheetId="3" hidden="1">2</definedName>
    <definedName name="solver_neg" localSheetId="2" hidden="1">2</definedName>
    <definedName name="solver_neg" localSheetId="3" hidden="1">2</definedName>
    <definedName name="solver_nod" localSheetId="2" hidden="1">2147483647</definedName>
    <definedName name="solver_nod" localSheetId="3" hidden="1">2147483647</definedName>
    <definedName name="solver_num" localSheetId="2" hidden="1">0</definedName>
    <definedName name="solver_num" localSheetId="3" hidden="1">0</definedName>
    <definedName name="solver_nwt" localSheetId="2" hidden="1">1</definedName>
    <definedName name="solver_nwt" localSheetId="3" hidden="1">1</definedName>
    <definedName name="solver_opt" localSheetId="2" hidden="1">Bredehoeft!$C$28</definedName>
    <definedName name="solver_opt" localSheetId="3" hidden="1">Schmidt!$B$28</definedName>
    <definedName name="solver_pre" localSheetId="2" hidden="1">0.0000001</definedName>
    <definedName name="solver_pre" localSheetId="3" hidden="1">0.000001</definedName>
    <definedName name="solver_rbv" localSheetId="2" hidden="1">1</definedName>
    <definedName name="solver_rbv" localSheetId="3" hidden="1">1</definedName>
    <definedName name="solver_rlx" localSheetId="2" hidden="1">2</definedName>
    <definedName name="solver_rlx" localSheetId="3" hidden="1">2</definedName>
    <definedName name="solver_rsd" localSheetId="2" hidden="1">0</definedName>
    <definedName name="solver_rsd" localSheetId="3" hidden="1">0</definedName>
    <definedName name="solver_scl" localSheetId="2" hidden="1">1</definedName>
    <definedName name="solver_scl" localSheetId="3" hidden="1">1</definedName>
    <definedName name="solver_sho" localSheetId="2" hidden="1">2</definedName>
    <definedName name="solver_sho" localSheetId="3" hidden="1">2</definedName>
    <definedName name="solver_ssz" localSheetId="2" hidden="1">100</definedName>
    <definedName name="solver_ssz" localSheetId="3" hidden="1">100</definedName>
    <definedName name="solver_tim" localSheetId="2" hidden="1">32760</definedName>
    <definedName name="solver_tim" localSheetId="3" hidden="1">2147483647</definedName>
    <definedName name="solver_tol" localSheetId="2" hidden="1">0.02</definedName>
    <definedName name="solver_tol" localSheetId="3" hidden="1">0.01</definedName>
    <definedName name="solver_typ" localSheetId="2" hidden="1">3</definedName>
    <definedName name="solver_typ" localSheetId="3" hidden="1">3</definedName>
    <definedName name="solver_val" localSheetId="2" hidden="1">0</definedName>
    <definedName name="solver_val" localSheetId="3" hidden="1">0</definedName>
    <definedName name="solver_ver" localSheetId="2" hidden="1">3</definedName>
    <definedName name="solver_ver" localSheetId="3" hidden="1">3</definedName>
  </definedNames>
  <calcPr calcId="171027"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28" i="2" l="1"/>
  <c r="Q1" i="3" a="1"/>
  <c r="Q1" i="3"/>
  <c r="Q2" i="3"/>
  <c r="Q3" i="3"/>
  <c r="Q4" i="3"/>
  <c r="Q5" i="3"/>
  <c r="Q6" i="3"/>
  <c r="Q7" i="3"/>
  <c r="Q8" i="3"/>
  <c r="Q9" i="3"/>
  <c r="Q10" i="3"/>
  <c r="Q11" i="3"/>
  <c r="Q12" i="3"/>
  <c r="Q13" i="3"/>
  <c r="Q14" i="3"/>
  <c r="Q15" i="3"/>
  <c r="Q16" i="3"/>
  <c r="Q17" i="3"/>
  <c r="Q18" i="3"/>
  <c r="Q19" i="3"/>
  <c r="Q20" i="3"/>
  <c r="Q21" i="3"/>
  <c r="Q22" i="3"/>
  <c r="Q23" i="3"/>
  <c r="Q24" i="3"/>
  <c r="Q25" i="3"/>
  <c r="Q26" i="3"/>
  <c r="Q27" i="3"/>
  <c r="Q28" i="3"/>
  <c r="Q29" i="3"/>
  <c r="Q30" i="3"/>
  <c r="A30" i="2" a="1"/>
  <c r="A30" i="2"/>
  <c r="B30" i="2"/>
  <c r="C30" i="2"/>
  <c r="D30" i="2"/>
  <c r="E30" i="2"/>
  <c r="F30" i="2"/>
  <c r="G30" i="2"/>
  <c r="H30" i="2"/>
  <c r="I30" i="2"/>
  <c r="J30" i="2"/>
  <c r="K30" i="2"/>
  <c r="L30" i="2"/>
  <c r="M30" i="2"/>
  <c r="N30" i="2"/>
  <c r="O30" i="2"/>
  <c r="P30" i="2"/>
  <c r="Q30" i="2"/>
  <c r="M8" i="3"/>
  <c r="M8" i="2"/>
  <c r="M16" i="2"/>
  <c r="A30" i="3" a="1"/>
  <c r="C30" i="3"/>
  <c r="A30" i="3"/>
  <c r="B30" i="3"/>
  <c r="D30" i="3"/>
  <c r="F30" i="3"/>
  <c r="H30" i="3"/>
  <c r="J30" i="3"/>
  <c r="P30" i="3"/>
  <c r="N30" i="3"/>
  <c r="L30" i="3"/>
  <c r="O30" i="3"/>
  <c r="M30" i="3"/>
  <c r="K30" i="3"/>
  <c r="I30" i="3"/>
  <c r="G30" i="3"/>
  <c r="E30" i="3"/>
  <c r="A29" i="2" a="1"/>
  <c r="P29" i="2"/>
  <c r="Q1" i="2" a="1"/>
  <c r="Q1" i="2"/>
  <c r="Q3" i="2"/>
  <c r="Q5" i="2"/>
  <c r="Q7" i="2"/>
  <c r="Q9" i="2"/>
  <c r="Q11" i="2"/>
  <c r="Q13" i="2"/>
  <c r="Q15" i="2"/>
  <c r="Q17" i="2"/>
  <c r="Q19" i="2"/>
  <c r="Q21" i="2"/>
  <c r="Q23" i="2"/>
  <c r="Q25" i="2"/>
  <c r="Q27" i="2"/>
  <c r="Q29" i="2"/>
  <c r="Q28" i="2"/>
  <c r="Q2" i="2"/>
  <c r="Q4" i="2"/>
  <c r="Q6" i="2"/>
  <c r="Q8" i="2"/>
  <c r="Q10" i="2"/>
  <c r="Q12" i="2"/>
  <c r="Q14" i="2"/>
  <c r="Q16" i="2"/>
  <c r="Q18" i="2"/>
  <c r="Q20" i="2"/>
  <c r="Q22" i="2"/>
  <c r="Q24" i="2"/>
  <c r="Q26" i="2"/>
  <c r="A29" i="2"/>
  <c r="C29" i="2"/>
  <c r="E29" i="2"/>
  <c r="G29" i="2"/>
  <c r="I29" i="2"/>
  <c r="K29" i="2"/>
  <c r="M29" i="2"/>
  <c r="O29" i="2"/>
  <c r="B29" i="2"/>
  <c r="D29" i="2"/>
  <c r="F29" i="2"/>
  <c r="H29" i="2"/>
  <c r="J29" i="2"/>
  <c r="L29" i="2"/>
  <c r="N29" i="2"/>
</calcChain>
</file>

<file path=xl/comments1.xml><?xml version="1.0" encoding="utf-8"?>
<comments xmlns="http://schemas.openxmlformats.org/spreadsheetml/2006/main">
  <authors>
    <author>ctsuser</author>
  </authors>
  <commentList>
    <comment ref="C3" authorId="0" shapeId="0">
      <text>
        <r>
          <rPr>
            <b/>
            <sz val="9"/>
            <color indexed="81"/>
            <rFont val="Tahoma"/>
            <family val="2"/>
          </rPr>
          <t>thermal Conductivity</t>
        </r>
        <r>
          <rPr>
            <sz val="9"/>
            <color indexed="81"/>
            <rFont val="Tahoma"/>
            <family val="2"/>
          </rPr>
          <t xml:space="preserve">
</t>
        </r>
        <r>
          <rPr>
            <b/>
            <sz val="9"/>
            <color indexed="81"/>
            <rFont val="Tahoma"/>
            <family val="2"/>
          </rPr>
          <t>of saturated sediment</t>
        </r>
      </text>
    </comment>
    <comment ref="C5" authorId="0" shapeId="0">
      <text>
        <r>
          <rPr>
            <b/>
            <sz val="9"/>
            <color indexed="81"/>
            <rFont val="Tahoma"/>
            <family val="2"/>
          </rPr>
          <t>Heat capacity of fluid</t>
        </r>
        <r>
          <rPr>
            <sz val="9"/>
            <color indexed="81"/>
            <rFont val="Tahoma"/>
            <family val="2"/>
          </rPr>
          <t xml:space="preserve">
</t>
        </r>
      </text>
    </comment>
  </commentList>
</comments>
</file>

<file path=xl/comments2.xml><?xml version="1.0" encoding="utf-8"?>
<comments xmlns="http://schemas.openxmlformats.org/spreadsheetml/2006/main">
  <authors>
    <author>ctsuser</author>
  </authors>
  <commentList>
    <comment ref="C3" authorId="0" shapeId="0">
      <text>
        <r>
          <rPr>
            <b/>
            <sz val="9"/>
            <color indexed="81"/>
            <rFont val="Tahoma"/>
            <family val="2"/>
          </rPr>
          <t>thermal Conductivity
of saturated sediment</t>
        </r>
        <r>
          <rPr>
            <sz val="9"/>
            <color indexed="81"/>
            <rFont val="Tahoma"/>
            <family val="2"/>
          </rPr>
          <t xml:space="preserve">
</t>
        </r>
      </text>
    </comment>
    <comment ref="C5" authorId="0" shapeId="0">
      <text>
        <r>
          <rPr>
            <b/>
            <sz val="9"/>
            <color indexed="81"/>
            <rFont val="Tahoma"/>
            <family val="2"/>
          </rPr>
          <t>Heat capacity of fluid</t>
        </r>
        <r>
          <rPr>
            <sz val="9"/>
            <color indexed="81"/>
            <rFont val="Tahoma"/>
            <family val="2"/>
          </rPr>
          <t xml:space="preserve">
</t>
        </r>
      </text>
    </comment>
  </commentList>
</comments>
</file>

<file path=xl/sharedStrings.xml><?xml version="1.0" encoding="utf-8"?>
<sst xmlns="http://schemas.openxmlformats.org/spreadsheetml/2006/main" count="159" uniqueCount="103">
  <si>
    <t>Water</t>
  </si>
  <si>
    <t>Sediment</t>
  </si>
  <si>
    <t>z =</t>
  </si>
  <si>
    <t>β =</t>
  </si>
  <si>
    <t>EQ =</t>
  </si>
  <si>
    <t>L =</t>
  </si>
  <si>
    <t xml:space="preserve">  m</t>
  </si>
  <si>
    <t>m/day</t>
  </si>
  <si>
    <t>J/(m.s.C)</t>
  </si>
  <si>
    <r>
      <t>J/(m</t>
    </r>
    <r>
      <rPr>
        <b/>
        <i/>
        <vertAlign val="superscript"/>
        <sz val="10"/>
        <rFont val="Arial"/>
        <family val="2"/>
      </rPr>
      <t>3</t>
    </r>
    <r>
      <rPr>
        <b/>
        <i/>
        <sz val="10"/>
        <rFont val="Arial"/>
        <family val="2"/>
      </rPr>
      <t>.C)</t>
    </r>
  </si>
  <si>
    <r>
      <t>q</t>
    </r>
    <r>
      <rPr>
        <b/>
        <i/>
        <vertAlign val="subscript"/>
        <sz val="11"/>
        <color theme="1"/>
        <rFont val="Calibri"/>
        <family val="2"/>
        <scheme val="minor"/>
      </rPr>
      <t>z</t>
    </r>
    <r>
      <rPr>
        <b/>
        <i/>
        <sz val="11"/>
        <color theme="1"/>
        <rFont val="Calibri"/>
        <family val="2"/>
        <scheme val="minor"/>
      </rPr>
      <t xml:space="preserve"> =</t>
    </r>
  </si>
  <si>
    <r>
      <t>T</t>
    </r>
    <r>
      <rPr>
        <b/>
        <i/>
        <vertAlign val="subscript"/>
        <sz val="11"/>
        <color theme="1"/>
        <rFont val="Calibri"/>
        <family val="2"/>
        <scheme val="minor"/>
      </rPr>
      <t>o</t>
    </r>
    <r>
      <rPr>
        <b/>
        <i/>
        <sz val="11"/>
        <color theme="1"/>
        <rFont val="Calibri"/>
        <family val="2"/>
        <scheme val="minor"/>
      </rPr>
      <t xml:space="preserve"> =</t>
    </r>
  </si>
  <si>
    <r>
      <rPr>
        <b/>
        <i/>
        <vertAlign val="superscript"/>
        <sz val="11"/>
        <color theme="1"/>
        <rFont val="Calibri"/>
        <family val="2"/>
        <scheme val="minor"/>
      </rPr>
      <t>o</t>
    </r>
    <r>
      <rPr>
        <b/>
        <i/>
        <sz val="11"/>
        <color theme="1"/>
        <rFont val="Calibri"/>
        <family val="2"/>
        <scheme val="minor"/>
      </rPr>
      <t>C</t>
    </r>
  </si>
  <si>
    <r>
      <t>T</t>
    </r>
    <r>
      <rPr>
        <b/>
        <i/>
        <vertAlign val="subscript"/>
        <sz val="11"/>
        <color theme="1"/>
        <rFont val="Calibri"/>
        <family val="2"/>
        <scheme val="minor"/>
      </rPr>
      <t>z</t>
    </r>
    <r>
      <rPr>
        <b/>
        <i/>
        <sz val="11"/>
        <color theme="1"/>
        <rFont val="Calibri"/>
        <family val="2"/>
        <scheme val="minor"/>
      </rPr>
      <t xml:space="preserve"> =</t>
    </r>
  </si>
  <si>
    <r>
      <t>T</t>
    </r>
    <r>
      <rPr>
        <b/>
        <i/>
        <vertAlign val="subscript"/>
        <sz val="11"/>
        <color theme="1"/>
        <rFont val="Calibri"/>
        <family val="2"/>
        <scheme val="minor"/>
      </rPr>
      <t>L</t>
    </r>
    <r>
      <rPr>
        <b/>
        <i/>
        <sz val="11"/>
        <color theme="1"/>
        <rFont val="Calibri"/>
        <family val="2"/>
        <scheme val="minor"/>
      </rPr>
      <t xml:space="preserve"> =</t>
    </r>
  </si>
  <si>
    <r>
      <rPr>
        <b/>
        <sz val="10"/>
        <rFont val="Calibri"/>
        <family val="2"/>
      </rPr>
      <t>ρ</t>
    </r>
    <r>
      <rPr>
        <b/>
        <i/>
        <vertAlign val="subscript"/>
        <sz val="10"/>
        <rFont val="Arial"/>
        <family val="2"/>
      </rPr>
      <t>f</t>
    </r>
    <r>
      <rPr>
        <b/>
        <i/>
        <sz val="10"/>
        <rFont val="Arial"/>
        <family val="2"/>
      </rPr>
      <t>C</t>
    </r>
    <r>
      <rPr>
        <b/>
        <i/>
        <vertAlign val="subscript"/>
        <sz val="10"/>
        <rFont val="Arial"/>
        <family val="2"/>
      </rPr>
      <t>f</t>
    </r>
    <r>
      <rPr>
        <b/>
        <i/>
        <sz val="10"/>
        <rFont val="Arial"/>
        <family val="2"/>
      </rPr>
      <t xml:space="preserve"> =</t>
    </r>
  </si>
  <si>
    <t xml:space="preserve">k =  </t>
  </si>
  <si>
    <t>Constant Groundwater Temperature</t>
  </si>
  <si>
    <r>
      <t>T</t>
    </r>
    <r>
      <rPr>
        <b/>
        <i/>
        <vertAlign val="subscript"/>
        <sz val="12"/>
        <color theme="1"/>
        <rFont val="Calibri"/>
        <family val="2"/>
        <scheme val="minor"/>
      </rPr>
      <t>gw</t>
    </r>
    <r>
      <rPr>
        <b/>
        <i/>
        <sz val="12"/>
        <color theme="1"/>
        <rFont val="Calibri"/>
        <family val="2"/>
        <scheme val="minor"/>
      </rPr>
      <t xml:space="preserve"> =</t>
    </r>
  </si>
  <si>
    <r>
      <t>T</t>
    </r>
    <r>
      <rPr>
        <b/>
        <i/>
        <vertAlign val="subscript"/>
        <sz val="12"/>
        <color theme="1"/>
        <rFont val="Calibri"/>
        <family val="2"/>
        <scheme val="minor"/>
      </rPr>
      <t>z</t>
    </r>
    <r>
      <rPr>
        <b/>
        <i/>
        <sz val="12"/>
        <color theme="1"/>
        <rFont val="Calibri"/>
        <family val="2"/>
        <scheme val="minor"/>
      </rPr>
      <t xml:space="preserve"> =</t>
    </r>
  </si>
  <si>
    <r>
      <t>T</t>
    </r>
    <r>
      <rPr>
        <b/>
        <i/>
        <vertAlign val="subscript"/>
        <sz val="12"/>
        <color theme="1"/>
        <rFont val="Calibri"/>
        <family val="2"/>
        <scheme val="minor"/>
      </rPr>
      <t>o</t>
    </r>
    <r>
      <rPr>
        <b/>
        <i/>
        <sz val="12"/>
        <color theme="1"/>
        <rFont val="Calibri"/>
        <family val="2"/>
        <scheme val="minor"/>
      </rPr>
      <t xml:space="preserve"> =</t>
    </r>
  </si>
  <si>
    <r>
      <rPr>
        <b/>
        <i/>
        <vertAlign val="superscript"/>
        <sz val="12"/>
        <color theme="1"/>
        <rFont val="Calibri"/>
        <family val="2"/>
        <scheme val="minor"/>
      </rPr>
      <t>o</t>
    </r>
    <r>
      <rPr>
        <b/>
        <i/>
        <sz val="12"/>
        <color theme="1"/>
        <rFont val="Calibri"/>
        <family val="2"/>
        <scheme val="minor"/>
      </rPr>
      <t>C</t>
    </r>
  </si>
  <si>
    <t>DOUBLE CLICK THE ICON BELOW</t>
  </si>
  <si>
    <t>Volumetric Heat Capacity of Water and Thermal Conductivity of Sediment</t>
  </si>
  <si>
    <t>Thermal</t>
  </si>
  <si>
    <t>Conductivity</t>
  </si>
  <si>
    <t>(Saturated)</t>
  </si>
  <si>
    <t>Environment</t>
  </si>
  <si>
    <t>Type &amp; Texture</t>
  </si>
  <si>
    <t>Method of Determination</t>
  </si>
  <si>
    <t>Source</t>
  </si>
  <si>
    <t>Liquid Water</t>
  </si>
  <si>
    <t>not applicable</t>
  </si>
  <si>
    <t>cited reference</t>
  </si>
  <si>
    <t>1, 2</t>
  </si>
  <si>
    <t>Wetland or bog</t>
  </si>
  <si>
    <t>peat</t>
  </si>
  <si>
    <t>heat flux model calibration</t>
  </si>
  <si>
    <t>0.3 - 0.5</t>
  </si>
  <si>
    <t>4, 8</t>
  </si>
  <si>
    <t>Lake sediment</t>
  </si>
  <si>
    <t>soft mud</t>
  </si>
  <si>
    <t>direct measurement</t>
  </si>
  <si>
    <t>0.46 - 0.59</t>
  </si>
  <si>
    <t>Tidal flat sediment</t>
  </si>
  <si>
    <t>silty mud</t>
  </si>
  <si>
    <t>0.66 - 0.70</t>
  </si>
  <si>
    <t>Coastal lagoon,  5 meters from shore</t>
  </si>
  <si>
    <t>sandy sediment with higher organic content</t>
  </si>
  <si>
    <t>0.62 - 0.83</t>
  </si>
  <si>
    <t>Estuary</t>
  </si>
  <si>
    <t>fine muddy</t>
  </si>
  <si>
    <t>0.78 - 0.98</t>
  </si>
  <si>
    <t>Ocean</t>
  </si>
  <si>
    <t>clayey sediment</t>
  </si>
  <si>
    <t>1.0 - 1.24</t>
  </si>
  <si>
    <t>sandy sediment</t>
  </si>
  <si>
    <t>1.41 - 1.73</t>
  </si>
  <si>
    <t>Coastal lagoon, 20 meters from shore</t>
  </si>
  <si>
    <t>1.56 - 2.19</t>
  </si>
  <si>
    <t>Riverbed</t>
  </si>
  <si>
    <t>sand and gravel</t>
  </si>
  <si>
    <t>heat flux model calibration to seepage measurements</t>
  </si>
  <si>
    <t>Aquifer</t>
  </si>
  <si>
    <t>direct measurement, heat flux model calibration</t>
  </si>
  <si>
    <t>2.14 - 2.69</t>
  </si>
  <si>
    <t>Source Reference</t>
  </si>
  <si>
    <t>USGS. 2003. Heat as a Tool for Studying the Movement of Ground Water Near Streams. Stonestrom, D.A., Constantz, J. (editors), Circular 1260, Reston, Virginia.</t>
  </si>
  <si>
    <t>Sharqawy, M. H., Lienhard V, J. H., Zubair, S. M. 2010. The thermophysical properties of seawater: A review of existing correlations and data. Desalination and Water Treatment, 16: 354-380.</t>
  </si>
  <si>
    <t>Duque, C., Müller, S., Sebok, E., Haider, K., Engesgaard, P. 2016. Estimating groundwater discharge to surface waters using heat as a tracer in low flux environments: the role of thermal conductivity. Hydrological Processes, 30: 383-395.</t>
  </si>
  <si>
    <t>McKenzie, J.M., Siegel, D.I., Rosenberry, D.O., Glaser, P.H., Voss, C.I. 2007. Heat transport in the Red Lake Bog, Glacial lake Agassiz Peatlands. Hyrological Processes, 21: 369-378.</t>
  </si>
  <si>
    <t>Briggs, M. A., Voytek, E. B., Day-Lewis, F. D., Rosenberry, D. O., Lane, J. W. 2013. Understanding water column and streambed thermal refugia for endangered mussels in the Delware River. Environmental Science and Technology, 47: 11423-11431.</t>
  </si>
  <si>
    <t>Markle, J. M., R. A. Schincariol, J. H. Sass, and J. W. Molson. 2006. Characterizing the two-dimensional thermal conductivity distribution in a sand and gravel aquifer. Soil Science Society of America Journal, 70: 1281-1294.</t>
  </si>
  <si>
    <t>Moqsud, M. A., Hayashi, S., Du, J. J., Suetsugu, D. 2008. Appraisal of thermal properties of mud in the Ariake Sea, Japan. American Journal of Environmental Sciences, 4: 129-135.</t>
  </si>
  <si>
    <t>Hayashi, M., Goeller, N., Quinton, W. L., Wright, N. 2007. A simple heat-conduction method for simulating the frost-table depth in hydrological models. Hydrological Processes, 21: 2610-2622.</t>
  </si>
  <si>
    <t>Goto, S., Matsubayashi, O. 2008. Inversion of the needle-probe data for sediment thermal properties of the eastern flank of the Juan de Fuca Ridge. Journal of Geophysical Research, 113: B08105.</t>
  </si>
  <si>
    <t>Harrison, S. J., Phizacklea, A. P. 1985. Seasonal changes in heat flux and heat storage in the intertidal mudflats of the Forth Estuary, Scotland. Journal of Climatology, 5: 473-485.</t>
  </si>
  <si>
    <t>Likens, G. E., Johnson, N. M. 1969. Measurement and analysis of the annual heat budget for the sediments in two Wisconsin lakes. Limnology and Oceanography, 14: 115-135.</t>
  </si>
  <si>
    <t>Bredehoeft</t>
  </si>
  <si>
    <t>TestData 1</t>
  </si>
  <si>
    <t>k</t>
  </si>
  <si>
    <t>Tz</t>
  </si>
  <si>
    <t>z</t>
  </si>
  <si>
    <t>L</t>
  </si>
  <si>
    <t>TestData 2</t>
  </si>
  <si>
    <t>TestData 3</t>
  </si>
  <si>
    <t>TestData 4</t>
  </si>
  <si>
    <r>
      <t>ρ</t>
    </r>
    <r>
      <rPr>
        <b/>
        <vertAlign val="subscript"/>
        <sz val="11"/>
        <color theme="1"/>
        <rFont val="Calibri"/>
        <family val="2"/>
        <scheme val="minor"/>
      </rPr>
      <t>f</t>
    </r>
    <r>
      <rPr>
        <b/>
        <sz val="11"/>
        <color theme="1"/>
        <rFont val="Calibri"/>
        <family val="2"/>
        <scheme val="minor"/>
      </rPr>
      <t>C</t>
    </r>
    <r>
      <rPr>
        <b/>
        <vertAlign val="subscript"/>
        <sz val="11"/>
        <color theme="1"/>
        <rFont val="Calibri"/>
        <family val="2"/>
        <scheme val="minor"/>
      </rPr>
      <t>f</t>
    </r>
  </si>
  <si>
    <r>
      <t>T</t>
    </r>
    <r>
      <rPr>
        <b/>
        <vertAlign val="subscript"/>
        <sz val="11"/>
        <color theme="1"/>
        <rFont val="Calibri"/>
        <family val="2"/>
        <scheme val="minor"/>
      </rPr>
      <t>o</t>
    </r>
  </si>
  <si>
    <r>
      <t>T</t>
    </r>
    <r>
      <rPr>
        <b/>
        <vertAlign val="subscript"/>
        <sz val="11"/>
        <color theme="1"/>
        <rFont val="Calibri"/>
        <family val="2"/>
        <scheme val="minor"/>
      </rPr>
      <t>L</t>
    </r>
  </si>
  <si>
    <t>qz</t>
  </si>
  <si>
    <t>Schmidt</t>
  </si>
  <si>
    <t>Tgw</t>
  </si>
  <si>
    <t>Upward Flow</t>
  </si>
  <si>
    <t>Downward Flow</t>
  </si>
  <si>
    <t>J/(m3.C)</t>
  </si>
  <si>
    <r>
      <rPr>
        <b/>
        <vertAlign val="superscript"/>
        <sz val="11"/>
        <color theme="1"/>
        <rFont val="Calibri"/>
        <family val="2"/>
        <scheme val="minor"/>
      </rPr>
      <t>o</t>
    </r>
    <r>
      <rPr>
        <b/>
        <sz val="11"/>
        <color theme="1"/>
        <rFont val="Calibri"/>
        <family val="2"/>
        <scheme val="minor"/>
      </rPr>
      <t>C</t>
    </r>
  </si>
  <si>
    <t>m</t>
  </si>
  <si>
    <t>Note</t>
  </si>
  <si>
    <t>(J/m.s.°C)</t>
  </si>
  <si>
    <t>-</t>
  </si>
  <si>
    <t>invalid temperature gradient</t>
  </si>
  <si>
    <t>Solution not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</si>
</sst>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0.0000"/>
    <numFmt numFmtId="165" formatCode="0.00_);[Red]\(0.00\)"/>
    <numFmt numFmtId="166" formatCode="0.0000_);[Red]\(0.0000\)"/>
  </numFmts>
  <fonts count="31" x14ac:knownFonts="1">
    <font>
      <sz val="11"/>
      <color theme="1"/>
      <name val="Calibri"/>
      <family val="2"/>
      <scheme val="minor"/>
    </font>
    <font>
      <b/>
      <sz val="11"/>
      <color theme="1"/>
      <name val="Calibri"/>
      <family val="2"/>
      <scheme val="minor"/>
    </font>
    <font>
      <sz val="10"/>
      <name val="Arial"/>
      <family val="2"/>
    </font>
    <font>
      <sz val="11"/>
      <color theme="1"/>
      <name val="Calibri"/>
      <family val="2"/>
    </font>
    <font>
      <b/>
      <sz val="10"/>
      <name val="Arial"/>
      <family val="2"/>
    </font>
    <font>
      <b/>
      <sz val="11"/>
      <color rgb="FF000000"/>
      <name val="Calibri"/>
      <family val="2"/>
    </font>
    <font>
      <b/>
      <sz val="11"/>
      <color rgb="FFFF0000"/>
      <name val="Calibri"/>
      <family val="2"/>
      <scheme val="minor"/>
    </font>
    <font>
      <b/>
      <i/>
      <u/>
      <sz val="11"/>
      <color rgb="FFFFFF00"/>
      <name val="Calibri"/>
      <family val="2"/>
      <scheme val="minor"/>
    </font>
    <font>
      <b/>
      <i/>
      <u/>
      <sz val="11"/>
      <color rgb="FFC00000"/>
      <name val="Calibri"/>
      <family val="2"/>
      <scheme val="minor"/>
    </font>
    <font>
      <sz val="9"/>
      <color indexed="81"/>
      <name val="Tahoma"/>
      <family val="2"/>
    </font>
    <font>
      <b/>
      <sz val="9"/>
      <color indexed="81"/>
      <name val="Tahoma"/>
      <family val="2"/>
    </font>
    <font>
      <b/>
      <i/>
      <sz val="10"/>
      <name val="Arial"/>
      <family val="2"/>
    </font>
    <font>
      <b/>
      <i/>
      <vertAlign val="subscript"/>
      <sz val="10"/>
      <name val="Arial"/>
      <family val="2"/>
    </font>
    <font>
      <b/>
      <i/>
      <vertAlign val="superscript"/>
      <sz val="10"/>
      <name val="Arial"/>
      <family val="2"/>
    </font>
    <font>
      <b/>
      <i/>
      <sz val="11"/>
      <color theme="1"/>
      <name val="Calibri"/>
      <family val="2"/>
      <scheme val="minor"/>
    </font>
    <font>
      <b/>
      <i/>
      <vertAlign val="subscript"/>
      <sz val="11"/>
      <color theme="1"/>
      <name val="Calibri"/>
      <family val="2"/>
      <scheme val="minor"/>
    </font>
    <font>
      <i/>
      <sz val="11"/>
      <color theme="1"/>
      <name val="Calibri"/>
      <family val="2"/>
      <scheme val="minor"/>
    </font>
    <font>
      <b/>
      <i/>
      <vertAlign val="superscript"/>
      <sz val="11"/>
      <color theme="1"/>
      <name val="Calibri"/>
      <family val="2"/>
      <scheme val="minor"/>
    </font>
    <font>
      <b/>
      <sz val="10"/>
      <name val="Calibri"/>
      <family val="2"/>
    </font>
    <font>
      <i/>
      <sz val="11"/>
      <color theme="7" tint="-0.249977111117893"/>
      <name val="Calibri"/>
      <family val="2"/>
    </font>
    <font>
      <sz val="11"/>
      <color theme="7" tint="-0.249977111117893"/>
      <name val="Calibri"/>
      <family val="2"/>
      <scheme val="minor"/>
    </font>
    <font>
      <i/>
      <sz val="11"/>
      <color theme="7" tint="-0.249977111117893"/>
      <name val="Calibri"/>
      <family val="2"/>
      <scheme val="minor"/>
    </font>
    <font>
      <b/>
      <i/>
      <sz val="12"/>
      <color theme="1"/>
      <name val="Calibri"/>
      <family val="2"/>
      <scheme val="minor"/>
    </font>
    <font>
      <b/>
      <i/>
      <vertAlign val="subscript"/>
      <sz val="12"/>
      <color theme="1"/>
      <name val="Calibri"/>
      <family val="2"/>
      <scheme val="minor"/>
    </font>
    <font>
      <b/>
      <i/>
      <vertAlign val="superscript"/>
      <sz val="12"/>
      <color theme="1"/>
      <name val="Calibri"/>
      <family val="2"/>
      <scheme val="minor"/>
    </font>
    <font>
      <sz val="11"/>
      <color theme="1"/>
      <name val="Calibri"/>
      <family val="2"/>
      <scheme val="minor"/>
    </font>
    <font>
      <b/>
      <i/>
      <sz val="11"/>
      <color rgb="FFFFFF00"/>
      <name val="Calibri"/>
      <family val="2"/>
      <scheme val="minor"/>
    </font>
    <font>
      <b/>
      <i/>
      <u/>
      <sz val="11"/>
      <color theme="0"/>
      <name val="Calibri"/>
      <family val="2"/>
      <scheme val="minor"/>
    </font>
    <font>
      <b/>
      <sz val="12"/>
      <color theme="1"/>
      <name val="Calibri"/>
      <family val="2"/>
      <scheme val="minor"/>
    </font>
    <font>
      <b/>
      <vertAlign val="subscript"/>
      <sz val="11"/>
      <color theme="1"/>
      <name val="Calibri"/>
      <family val="2"/>
      <scheme val="minor"/>
    </font>
    <font>
      <b/>
      <vertAlign val="superscript"/>
      <sz val="11"/>
      <color theme="1"/>
      <name val="Calibri"/>
      <family val="2"/>
      <scheme val="minor"/>
    </font>
  </fonts>
  <fills count="9">
    <fill>
      <patternFill patternType="none"/>
    </fill>
    <fill>
      <patternFill patternType="gray125"/>
    </fill>
    <fill>
      <patternFill patternType="solid">
        <fgColor rgb="FF9BC2E6"/>
        <bgColor indexed="64"/>
      </patternFill>
    </fill>
    <fill>
      <patternFill patternType="solid">
        <fgColor rgb="FFBF8F00"/>
        <bgColor indexed="64"/>
      </patternFill>
    </fill>
    <fill>
      <patternFill patternType="solid">
        <fgColor indexed="9"/>
        <bgColor indexed="64"/>
      </patternFill>
    </fill>
    <fill>
      <patternFill patternType="solid">
        <fgColor indexed="26"/>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4.9989318521683403E-2"/>
        <bgColor indexed="64"/>
      </patternFill>
    </fill>
  </fills>
  <borders count="3">
    <border>
      <left/>
      <right/>
      <top/>
      <bottom/>
      <diagonal/>
    </border>
    <border>
      <left style="thick">
        <color auto="1"/>
      </left>
      <right style="thick">
        <color auto="1"/>
      </right>
      <top style="thick">
        <color auto="1"/>
      </top>
      <bottom style="thick">
        <color auto="1"/>
      </bottom>
      <diagonal/>
    </border>
    <border>
      <left style="thick">
        <color rgb="FFFF0000"/>
      </left>
      <right style="thick">
        <color rgb="FFFF0000"/>
      </right>
      <top style="thick">
        <color rgb="FFFF0000"/>
      </top>
      <bottom style="thick">
        <color rgb="FFFF0000"/>
      </bottom>
      <diagonal/>
    </border>
  </borders>
  <cellStyleXfs count="3">
    <xf numFmtId="0" fontId="0" fillId="0" borderId="0"/>
    <xf numFmtId="0" fontId="2" fillId="0" borderId="0"/>
    <xf numFmtId="43" fontId="25" fillId="0" borderId="0" applyFont="0" applyFill="0" applyBorder="0" applyAlignment="0" applyProtection="0"/>
  </cellStyleXfs>
  <cellXfs count="92">
    <xf numFmtId="0" fontId="0" fillId="0" borderId="0" xfId="0"/>
    <xf numFmtId="43" fontId="0" fillId="0" borderId="0" xfId="2" applyFont="1"/>
    <xf numFmtId="0" fontId="2" fillId="0" borderId="0" xfId="1"/>
    <xf numFmtId="0" fontId="0" fillId="2" borderId="0" xfId="0" applyFill="1" applyProtection="1"/>
    <xf numFmtId="0" fontId="0" fillId="2" borderId="0" xfId="0" applyFill="1" applyAlignment="1" applyProtection="1">
      <alignment horizontal="center"/>
    </xf>
    <xf numFmtId="0" fontId="11" fillId="2" borderId="0" xfId="1" applyFont="1" applyFill="1" applyAlignment="1" applyProtection="1">
      <alignment horizontal="right"/>
    </xf>
    <xf numFmtId="0" fontId="11" fillId="2" borderId="0" xfId="1" applyFont="1" applyFill="1" applyAlignment="1" applyProtection="1">
      <alignment horizontal="center"/>
    </xf>
    <xf numFmtId="0" fontId="2" fillId="2" borderId="0" xfId="1" applyFill="1" applyAlignment="1" applyProtection="1">
      <alignment horizontal="center"/>
    </xf>
    <xf numFmtId="164" fontId="2" fillId="2" borderId="0" xfId="1" applyNumberFormat="1" applyFill="1" applyBorder="1" applyAlignment="1" applyProtection="1">
      <alignment horizontal="center"/>
    </xf>
    <xf numFmtId="2" fontId="2" fillId="2" borderId="0" xfId="1" applyNumberFormat="1" applyFill="1" applyBorder="1" applyAlignment="1" applyProtection="1">
      <alignment horizontal="center"/>
    </xf>
    <xf numFmtId="0" fontId="8" fillId="2" borderId="0" xfId="0" applyFont="1" applyFill="1" applyProtection="1"/>
    <xf numFmtId="0" fontId="0" fillId="2" borderId="0" xfId="0" applyFill="1"/>
    <xf numFmtId="0" fontId="27" fillId="2" borderId="0" xfId="0" applyFont="1" applyFill="1" applyAlignment="1" applyProtection="1">
      <alignment horizontal="center"/>
    </xf>
    <xf numFmtId="0" fontId="14" fillId="2" borderId="0" xfId="0" applyFont="1" applyFill="1" applyAlignment="1" applyProtection="1">
      <alignment horizontal="center"/>
    </xf>
    <xf numFmtId="0" fontId="14" fillId="2" borderId="0" xfId="0" applyFont="1" applyFill="1" applyProtection="1"/>
    <xf numFmtId="0" fontId="16" fillId="2" borderId="0" xfId="0" applyFont="1" applyFill="1" applyAlignment="1" applyProtection="1">
      <alignment horizontal="center"/>
    </xf>
    <xf numFmtId="165" fontId="0" fillId="2" borderId="0" xfId="0" applyNumberFormat="1" applyFont="1" applyFill="1" applyBorder="1" applyAlignment="1" applyProtection="1">
      <alignment horizontal="center"/>
    </xf>
    <xf numFmtId="0" fontId="0" fillId="3" borderId="0" xfId="0" applyFill="1" applyProtection="1"/>
    <xf numFmtId="0" fontId="0" fillId="3" borderId="0" xfId="0" applyFill="1" applyAlignment="1" applyProtection="1">
      <alignment horizontal="center"/>
    </xf>
    <xf numFmtId="0" fontId="0" fillId="3" borderId="0" xfId="0" applyFill="1"/>
    <xf numFmtId="0" fontId="14" fillId="3" borderId="0" xfId="0" applyFont="1" applyFill="1" applyAlignment="1" applyProtection="1">
      <alignment horizontal="center"/>
    </xf>
    <xf numFmtId="0" fontId="14" fillId="3" borderId="0" xfId="0" applyFont="1" applyFill="1" applyProtection="1"/>
    <xf numFmtId="0" fontId="14" fillId="3" borderId="0" xfId="0" applyFont="1" applyFill="1" applyAlignment="1" applyProtection="1">
      <alignment horizontal="left"/>
    </xf>
    <xf numFmtId="0" fontId="1" fillId="3" borderId="0" xfId="0" applyFont="1" applyFill="1" applyProtection="1"/>
    <xf numFmtId="0" fontId="7" fillId="3" borderId="0" xfId="0" applyFont="1" applyFill="1" applyAlignment="1" applyProtection="1">
      <alignment horizontal="center"/>
    </xf>
    <xf numFmtId="0" fontId="6" fillId="3" borderId="0" xfId="0" applyFont="1" applyFill="1" applyProtection="1"/>
    <xf numFmtId="0" fontId="19" fillId="3" borderId="0" xfId="0" applyFont="1" applyFill="1" applyAlignment="1" applyProtection="1">
      <alignment horizontal="center"/>
    </xf>
    <xf numFmtId="2" fontId="20" fillId="3" borderId="0" xfId="0" applyNumberFormat="1" applyFont="1" applyFill="1" applyAlignment="1" applyProtection="1">
      <alignment horizontal="center"/>
    </xf>
    <xf numFmtId="0" fontId="21" fillId="3" borderId="0" xfId="0" applyFont="1" applyFill="1" applyAlignment="1" applyProtection="1">
      <alignment horizontal="center"/>
    </xf>
    <xf numFmtId="0" fontId="20" fillId="3" borderId="0" xfId="0" applyFont="1" applyFill="1" applyProtection="1"/>
    <xf numFmtId="2" fontId="4" fillId="4" borderId="1" xfId="1" applyNumberFormat="1" applyFont="1" applyFill="1" applyBorder="1" applyAlignment="1" applyProtection="1">
      <alignment horizontal="center"/>
    </xf>
    <xf numFmtId="11" fontId="4" fillId="4" borderId="1" xfId="1" applyNumberFormat="1" applyFont="1" applyFill="1" applyBorder="1" applyAlignment="1" applyProtection="1">
      <alignment horizontal="center"/>
    </xf>
    <xf numFmtId="2" fontId="1" fillId="4" borderId="1" xfId="0" applyNumberFormat="1" applyFont="1" applyFill="1" applyBorder="1" applyAlignment="1" applyProtection="1">
      <alignment horizontal="center"/>
    </xf>
    <xf numFmtId="166" fontId="1" fillId="5" borderId="2" xfId="0" applyNumberFormat="1" applyFont="1" applyFill="1" applyBorder="1" applyAlignment="1" applyProtection="1">
      <alignment horizontal="center"/>
    </xf>
    <xf numFmtId="0" fontId="0" fillId="2" borderId="0" xfId="0" applyFill="1" applyAlignment="1">
      <alignment horizontal="center"/>
    </xf>
    <xf numFmtId="0" fontId="11" fillId="2" borderId="0" xfId="1" applyFont="1" applyFill="1" applyAlignment="1">
      <alignment horizontal="right"/>
    </xf>
    <xf numFmtId="0" fontId="11" fillId="2" borderId="0" xfId="1" applyFont="1" applyFill="1" applyAlignment="1">
      <alignment horizontal="center"/>
    </xf>
    <xf numFmtId="0" fontId="2" fillId="2" borderId="0" xfId="1" applyFill="1" applyAlignment="1">
      <alignment horizontal="center"/>
    </xf>
    <xf numFmtId="164" fontId="2" fillId="2" borderId="0" xfId="1" applyNumberFormat="1" applyFill="1" applyBorder="1" applyAlignment="1">
      <alignment horizontal="center"/>
    </xf>
    <xf numFmtId="2" fontId="2" fillId="2" borderId="0" xfId="1" applyNumberFormat="1" applyFill="1" applyBorder="1" applyAlignment="1">
      <alignment horizontal="center"/>
    </xf>
    <xf numFmtId="0" fontId="8" fillId="2" borderId="0" xfId="0" applyFont="1" applyFill="1"/>
    <xf numFmtId="0" fontId="27" fillId="2" borderId="0" xfId="0" applyFont="1" applyFill="1" applyAlignment="1">
      <alignment horizontal="center"/>
    </xf>
    <xf numFmtId="0" fontId="14" fillId="2" borderId="0" xfId="0" applyFont="1" applyFill="1" applyAlignment="1">
      <alignment horizontal="center"/>
    </xf>
    <xf numFmtId="0" fontId="14" fillId="2" borderId="0" xfId="0" applyFont="1" applyFill="1"/>
    <xf numFmtId="0" fontId="22" fillId="2" borderId="0" xfId="0" applyFont="1" applyFill="1" applyAlignment="1">
      <alignment horizontal="center"/>
    </xf>
    <xf numFmtId="0" fontId="16" fillId="2" borderId="0" xfId="0" applyFont="1" applyFill="1" applyAlignment="1">
      <alignment horizontal="center"/>
    </xf>
    <xf numFmtId="165" fontId="0" fillId="2" borderId="0" xfId="0" applyNumberFormat="1" applyFont="1" applyFill="1" applyBorder="1" applyAlignment="1">
      <alignment horizontal="center"/>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left"/>
    </xf>
    <xf numFmtId="0" fontId="7" fillId="3" borderId="0" xfId="0" applyFont="1" applyFill="1"/>
    <xf numFmtId="0" fontId="1" fillId="3" borderId="0" xfId="0" applyFont="1" applyFill="1"/>
    <xf numFmtId="0" fontId="22" fillId="3" borderId="0" xfId="0" applyFont="1" applyFill="1" applyAlignment="1">
      <alignment horizontal="center"/>
    </xf>
    <xf numFmtId="0" fontId="0" fillId="3" borderId="0" xfId="0" applyFill="1" applyAlignment="1">
      <alignment horizontal="center"/>
    </xf>
    <xf numFmtId="0" fontId="6" fillId="3" borderId="0" xfId="0" applyFont="1" applyFill="1"/>
    <xf numFmtId="0" fontId="1" fillId="3" borderId="0" xfId="0" applyFont="1" applyFill="1" applyAlignment="1">
      <alignment horizontal="center"/>
    </xf>
    <xf numFmtId="2" fontId="1" fillId="3" borderId="0" xfId="0" applyNumberFormat="1" applyFont="1" applyFill="1" applyBorder="1" applyAlignment="1">
      <alignment horizontal="center"/>
    </xf>
    <xf numFmtId="0" fontId="1" fillId="3" borderId="0" xfId="0" applyFont="1" applyFill="1" applyAlignment="1">
      <alignment horizontal="left"/>
    </xf>
    <xf numFmtId="0" fontId="3" fillId="3" borderId="0" xfId="0" applyFont="1" applyFill="1" applyAlignment="1">
      <alignment horizontal="center"/>
    </xf>
    <xf numFmtId="2" fontId="0" fillId="3" borderId="0" xfId="0" applyNumberFormat="1" applyFill="1" applyAlignment="1" applyProtection="1">
      <alignment horizontal="center"/>
      <protection locked="0"/>
    </xf>
    <xf numFmtId="0" fontId="26" fillId="3" borderId="0" xfId="0" applyFont="1" applyFill="1"/>
    <xf numFmtId="0" fontId="20" fillId="3" borderId="0" xfId="0" applyFont="1" applyFill="1"/>
    <xf numFmtId="2" fontId="4" fillId="4" borderId="1" xfId="1" applyNumberFormat="1" applyFont="1" applyFill="1" applyBorder="1" applyAlignment="1">
      <alignment horizontal="center"/>
    </xf>
    <xf numFmtId="11" fontId="4" fillId="4" borderId="1" xfId="1" applyNumberFormat="1" applyFont="1" applyFill="1" applyBorder="1" applyAlignment="1">
      <alignment horizontal="center"/>
    </xf>
    <xf numFmtId="0" fontId="1" fillId="4" borderId="1" xfId="0" applyFont="1" applyFill="1" applyBorder="1" applyAlignment="1">
      <alignment horizontal="center"/>
    </xf>
    <xf numFmtId="2" fontId="1" fillId="4" borderId="1" xfId="0" applyNumberFormat="1" applyFont="1" applyFill="1" applyBorder="1" applyAlignment="1">
      <alignment horizontal="center"/>
    </xf>
    <xf numFmtId="164" fontId="1" fillId="5" borderId="2" xfId="0" applyNumberFormat="1" applyFont="1" applyFill="1" applyBorder="1" applyAlignment="1">
      <alignment horizontal="center"/>
    </xf>
    <xf numFmtId="0" fontId="28" fillId="0" borderId="0" xfId="0" applyFont="1" applyAlignment="1">
      <alignment horizontal="left"/>
    </xf>
    <xf numFmtId="0" fontId="0" fillId="0" borderId="0" xfId="0" applyAlignment="1">
      <alignment horizontal="left"/>
    </xf>
    <xf numFmtId="0" fontId="1" fillId="0" borderId="0" xfId="0" applyFont="1"/>
    <xf numFmtId="0" fontId="1" fillId="0" borderId="0" xfId="0" applyFont="1" applyAlignment="1">
      <alignment horizontal="left"/>
    </xf>
    <xf numFmtId="0" fontId="0" fillId="0" borderId="0" xfId="0" applyAlignment="1">
      <alignment horizontal="left" wrapText="1"/>
    </xf>
    <xf numFmtId="0" fontId="0" fillId="0" borderId="0" xfId="0" quotePrefix="1" applyAlignment="1">
      <alignment horizontal="left"/>
    </xf>
    <xf numFmtId="0" fontId="0" fillId="0" borderId="0" xfId="0" applyAlignment="1">
      <alignment wrapText="1"/>
    </xf>
    <xf numFmtId="0" fontId="0" fillId="0" borderId="0" xfId="0" applyAlignment="1">
      <alignment horizontal="left" vertical="top"/>
    </xf>
    <xf numFmtId="0" fontId="0" fillId="0" borderId="0" xfId="0" applyAlignment="1">
      <alignment horizontal="center"/>
    </xf>
    <xf numFmtId="0" fontId="1" fillId="0" borderId="0" xfId="0" applyFont="1" applyAlignment="1">
      <alignment horizontal="center"/>
    </xf>
    <xf numFmtId="0" fontId="0" fillId="7" borderId="0" xfId="0" applyFill="1" applyAlignment="1">
      <alignment horizontal="center"/>
    </xf>
    <xf numFmtId="0" fontId="0" fillId="0" borderId="0" xfId="0" applyFill="1" applyAlignment="1">
      <alignment horizontal="center"/>
    </xf>
    <xf numFmtId="0" fontId="1" fillId="0" borderId="0" xfId="0" applyFont="1" applyFill="1" applyAlignment="1">
      <alignment horizontal="center"/>
    </xf>
    <xf numFmtId="0" fontId="1" fillId="7" borderId="0" xfId="0" applyFont="1" applyFill="1" applyAlignment="1">
      <alignment horizontal="center"/>
    </xf>
    <xf numFmtId="0" fontId="1" fillId="6" borderId="0" xfId="0" applyFont="1" applyFill="1" applyAlignment="1">
      <alignment horizontal="center"/>
    </xf>
    <xf numFmtId="0" fontId="0" fillId="6" borderId="0" xfId="0" applyFill="1" applyAlignment="1">
      <alignment horizontal="center"/>
    </xf>
    <xf numFmtId="11" fontId="0" fillId="0" borderId="0" xfId="0" applyNumberFormat="1" applyAlignment="1">
      <alignment horizontal="center"/>
    </xf>
    <xf numFmtId="165" fontId="0" fillId="0" borderId="0" xfId="0" applyNumberFormat="1" applyAlignment="1">
      <alignment horizontal="center"/>
    </xf>
    <xf numFmtId="166" fontId="0" fillId="0" borderId="0" xfId="0" applyNumberFormat="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11" fontId="0" fillId="8" borderId="0" xfId="0" applyNumberFormat="1" applyFill="1" applyAlignment="1">
      <alignment horizontal="center"/>
    </xf>
    <xf numFmtId="166" fontId="0" fillId="8" borderId="0" xfId="0" applyNumberFormat="1" applyFill="1" applyAlignment="1">
      <alignment horizontal="center"/>
    </xf>
    <xf numFmtId="0" fontId="0" fillId="0" borderId="0" xfId="0" applyAlignment="1">
      <alignment horizontal="left" vertical="top" wrapText="1"/>
    </xf>
    <xf numFmtId="0" fontId="0" fillId="0" borderId="0" xfId="0" applyAlignment="1">
      <alignment wrapText="1"/>
    </xf>
  </cellXfs>
  <cellStyles count="3">
    <cellStyle name="Comma" xfId="2" builtinId="3"/>
    <cellStyle name="Normal" xfId="0" builtinId="0"/>
    <cellStyle name="Normal 2" xfId="1"/>
  </cellStyles>
  <dxfs count="0"/>
  <tableStyles count="0" defaultTableStyle="TableStyleMedium2" defaultPivotStyle="PivotStyleLight16"/>
  <colors>
    <mruColors>
      <color rgb="FFFFFFCC"/>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12700</xdr:colOff>
      <xdr:row>0</xdr:row>
      <xdr:rowOff>38100</xdr:rowOff>
    </xdr:from>
    <xdr:to>
      <xdr:col>12</xdr:col>
      <xdr:colOff>1</xdr:colOff>
      <xdr:row>72</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700" y="38100"/>
          <a:ext cx="9407346" cy="11877136"/>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a:p>
          <a:r>
            <a:rPr lang="en-US" sz="1400"/>
            <a:t>This workbook is a beta version of groundwater seepage calculator based on the analytical solutions from the following journal articles:</a:t>
          </a:r>
        </a:p>
        <a:p>
          <a:endParaRPr lang="en-US" sz="1400"/>
        </a:p>
        <a:p>
          <a:pPr lvl="1"/>
          <a:r>
            <a:rPr lang="en-US" sz="1400"/>
            <a:t>Bredehoeft, J.D. and Papadopulos, I.S., 1965. Rates of vertical groundwater movement estimated from the Earth's thermal profile. Water Resour. Res., 1(2): 325-328. </a:t>
          </a:r>
        </a:p>
        <a:p>
          <a:pPr lvl="1"/>
          <a:endParaRPr lang="en-US" sz="1400"/>
        </a:p>
        <a:p>
          <a:pPr lvl="1"/>
          <a:r>
            <a:rPr lang="en-US" sz="1400"/>
            <a:t>Schmidt, C., Conant Jr, B., Bayer-Raich, M. and Schirmer, M., 2007. Evaluation and field-scale application of an analytical method to quantify groundwater discharge using mapped streambed temperatures. Journal of Hydrology, 347(3–4): 292-307. </a:t>
          </a:r>
        </a:p>
        <a:p>
          <a:endParaRPr lang="en-US" sz="1400"/>
        </a:p>
        <a:p>
          <a:pPr marL="0" marR="0" indent="0" defTabSz="914400" eaLnBrk="1" fontAlgn="auto" latinLnBrk="0" hangingPunct="1">
            <a:lnSpc>
              <a:spcPct val="100000"/>
            </a:lnSpc>
            <a:spcBef>
              <a:spcPts val="0"/>
            </a:spcBef>
            <a:spcAft>
              <a:spcPts val="0"/>
            </a:spcAft>
            <a:buClrTx/>
            <a:buSzTx/>
            <a:buFontTx/>
            <a:buNone/>
            <a:tabLst/>
            <a:defRPr/>
          </a:pPr>
          <a:r>
            <a:rPr lang="en-US" sz="1400"/>
            <a:t>This work book utilizes</a:t>
          </a:r>
          <a:r>
            <a:rPr lang="en-US" sz="1400" baseline="0"/>
            <a:t> steady-state sediment temperature profile to estimate groundwater seepage flux. </a:t>
          </a:r>
          <a:r>
            <a:rPr lang="en-US" sz="1400">
              <a:solidFill>
                <a:schemeClr val="dk1"/>
              </a:solidFill>
              <a:effectLst/>
              <a:latin typeface="+mn-lt"/>
              <a:ea typeface="+mn-ea"/>
              <a:cs typeface="+mn-cs"/>
            </a:rPr>
            <a:t>Users are encouraged to familiarize with the theory beforehand. </a:t>
          </a:r>
          <a:r>
            <a:rPr lang="en-US" sz="1400" b="0" i="0" u="none" strike="noStrike" baseline="0">
              <a:solidFill>
                <a:schemeClr val="dk1"/>
              </a:solidFill>
              <a:latin typeface="+mn-lt"/>
              <a:ea typeface="+mn-ea"/>
              <a:cs typeface="+mn-cs"/>
            </a:rPr>
            <a:t>The only assumed parameters in the steady-state models are volumetric heat capacity of water (</a:t>
          </a:r>
          <a:r>
            <a:rPr lang="el-GR" sz="1400" b="0" i="1" u="none" strike="noStrike" baseline="0">
              <a:solidFill>
                <a:schemeClr val="dk1"/>
              </a:solidFill>
              <a:latin typeface="+mn-lt"/>
              <a:ea typeface="+mn-ea"/>
              <a:cs typeface="+mn-cs"/>
            </a:rPr>
            <a:t>ρ</a:t>
          </a:r>
          <a:r>
            <a:rPr lang="en-US" sz="1400" b="0" i="1" u="none" strike="noStrike" baseline="-25000">
              <a:solidFill>
                <a:schemeClr val="dk1"/>
              </a:solidFill>
              <a:latin typeface="+mn-lt"/>
              <a:ea typeface="+mn-ea"/>
              <a:cs typeface="+mn-cs"/>
            </a:rPr>
            <a:t>f</a:t>
          </a:r>
          <a:r>
            <a:rPr lang="en-US" sz="1400" b="0" i="1" u="none" strike="noStrike" baseline="0">
              <a:solidFill>
                <a:schemeClr val="dk1"/>
              </a:solidFill>
              <a:latin typeface="+mn-lt"/>
              <a:ea typeface="+mn-ea"/>
              <a:cs typeface="+mn-cs"/>
            </a:rPr>
            <a:t>c</a:t>
          </a:r>
          <a:r>
            <a:rPr lang="en-US" sz="1400" b="0" i="1" u="none" strike="noStrike" baseline="-25000">
              <a:solidFill>
                <a:schemeClr val="dk1"/>
              </a:solidFill>
              <a:latin typeface="+mn-lt"/>
              <a:ea typeface="+mn-ea"/>
              <a:cs typeface="+mn-cs"/>
            </a:rPr>
            <a:t>f</a:t>
          </a:r>
          <a:r>
            <a:rPr lang="en-US" sz="1400" b="0" i="0" u="none" strike="noStrike" baseline="0">
              <a:solidFill>
                <a:schemeClr val="dk1"/>
              </a:solidFill>
              <a:latin typeface="+mn-lt"/>
              <a:ea typeface="+mn-ea"/>
              <a:cs typeface="+mn-cs"/>
            </a:rPr>
            <a:t>) and thermal conductivity (</a:t>
          </a:r>
          <a:r>
            <a:rPr lang="en-US" sz="1400" b="0" i="1" u="none" strike="noStrike" baseline="0">
              <a:solidFill>
                <a:schemeClr val="dk1"/>
              </a:solidFill>
              <a:latin typeface="+mn-lt"/>
              <a:ea typeface="+mn-ea"/>
              <a:cs typeface="+mn-cs"/>
            </a:rPr>
            <a:t>k</a:t>
          </a:r>
          <a:r>
            <a:rPr lang="en-US" sz="1400" b="0" i="0" u="none" strike="noStrike" baseline="0">
              <a:solidFill>
                <a:schemeClr val="dk1"/>
              </a:solidFill>
              <a:latin typeface="+mn-lt"/>
              <a:ea typeface="+mn-ea"/>
              <a:cs typeface="+mn-cs"/>
            </a:rPr>
            <a:t>) </a:t>
          </a:r>
          <a:r>
            <a:rPr lang="en-US" sz="1400" b="0" i="0" baseline="0">
              <a:solidFill>
                <a:schemeClr val="dk1"/>
              </a:solidFill>
              <a:effectLst/>
              <a:latin typeface="+mn-lt"/>
              <a:ea typeface="+mn-ea"/>
              <a:cs typeface="+mn-cs"/>
            </a:rPr>
            <a:t>of the saturated porous media</a:t>
          </a:r>
          <a:r>
            <a:rPr lang="en-US" sz="1400" b="0" i="0" u="none" strike="noStrike" baseline="0">
              <a:solidFill>
                <a:schemeClr val="dk1"/>
              </a:solidFill>
              <a:latin typeface="+mn-lt"/>
              <a:ea typeface="+mn-ea"/>
              <a:cs typeface="+mn-cs"/>
            </a:rPr>
            <a:t>. Please look up the worksheet - "Parameter Metadata" for applicable parameter values</a:t>
          </a:r>
          <a:r>
            <a:rPr lang="en-US" sz="1400"/>
            <a:t>.</a:t>
          </a:r>
          <a:r>
            <a:rPr lang="en-US" sz="1400" baseline="0"/>
            <a:t> </a:t>
          </a:r>
        </a:p>
        <a:p>
          <a:pPr marL="0" marR="0" indent="0" defTabSz="914400" eaLnBrk="1" fontAlgn="auto" latinLnBrk="0" hangingPunct="1">
            <a:lnSpc>
              <a:spcPct val="100000"/>
            </a:lnSpc>
            <a:spcBef>
              <a:spcPts val="0"/>
            </a:spcBef>
            <a:spcAft>
              <a:spcPts val="0"/>
            </a:spcAft>
            <a:buClrTx/>
            <a:buSzTx/>
            <a:buFontTx/>
            <a:buNone/>
            <a:tabLst/>
            <a:defRPr/>
          </a:pPr>
          <a:endParaRPr lang="en-US" sz="1400"/>
        </a:p>
        <a:p>
          <a:r>
            <a:rPr lang="en-US" sz="1400"/>
            <a:t>This workbook is developed under the Microsoft Excel 2016 platform. The Excel Solver add-in is required for the workbook to run properly.  To enable the Solver Add-in in Excel, please do the following steps:</a:t>
          </a:r>
        </a:p>
        <a:p>
          <a:endParaRPr lang="en-US" sz="1400"/>
        </a:p>
        <a:p>
          <a:r>
            <a:rPr lang="en-US" sz="1400"/>
            <a:t>	</a:t>
          </a:r>
          <a:r>
            <a:rPr lang="en-US" sz="1400">
              <a:solidFill>
                <a:schemeClr val="dk1"/>
              </a:solidFill>
              <a:effectLst/>
              <a:latin typeface="+mn-lt"/>
              <a:ea typeface="+mn-ea"/>
              <a:cs typeface="+mn-cs"/>
            </a:rPr>
            <a:t>1)</a:t>
          </a:r>
          <a:r>
            <a:rPr lang="en-US" sz="1400" baseline="0">
              <a:solidFill>
                <a:schemeClr val="dk1"/>
              </a:solidFill>
              <a:effectLst/>
              <a:latin typeface="+mn-lt"/>
              <a:ea typeface="+mn-ea"/>
              <a:cs typeface="+mn-cs"/>
            </a:rPr>
            <a:t> </a:t>
          </a:r>
          <a:r>
            <a:rPr lang="en-US" sz="1400"/>
            <a:t>In Excel 2010 and later goto </a:t>
          </a:r>
          <a:r>
            <a:rPr lang="en-US" sz="1400" b="1"/>
            <a:t>File &gt; Options</a:t>
          </a:r>
          <a:endParaRPr lang="en-US" sz="1400">
            <a:effectLst/>
          </a:endParaRPr>
        </a:p>
        <a:p>
          <a:r>
            <a:rPr lang="en-US" sz="1400">
              <a:solidFill>
                <a:schemeClr val="dk1"/>
              </a:solidFill>
              <a:effectLst/>
              <a:latin typeface="+mn-lt"/>
              <a:ea typeface="+mn-ea"/>
              <a:cs typeface="+mn-cs"/>
            </a:rPr>
            <a:t>	2)</a:t>
          </a:r>
          <a:r>
            <a:rPr lang="en-US" sz="1400" baseline="0">
              <a:solidFill>
                <a:schemeClr val="dk1"/>
              </a:solidFill>
              <a:effectLst/>
              <a:latin typeface="+mn-lt"/>
              <a:ea typeface="+mn-ea"/>
              <a:cs typeface="+mn-cs"/>
            </a:rPr>
            <a:t> </a:t>
          </a:r>
          <a:r>
            <a:rPr lang="en-US" sz="1400"/>
            <a:t>Click </a:t>
          </a:r>
          <a:r>
            <a:rPr lang="en-US" sz="1400" b="1"/>
            <a:t>Add-Ins</a:t>
          </a:r>
          <a:r>
            <a:rPr lang="en-US" sz="1400"/>
            <a:t>, and then in the </a:t>
          </a:r>
          <a:r>
            <a:rPr lang="en-US" sz="1400" b="1"/>
            <a:t>Manage</a:t>
          </a:r>
          <a:r>
            <a:rPr lang="en-US" sz="1400"/>
            <a:t> box, select </a:t>
          </a:r>
          <a:r>
            <a:rPr lang="en-US" sz="1400" b="1"/>
            <a:t>Excel Add-ins</a:t>
          </a:r>
          <a:r>
            <a:rPr lang="en-US" sz="1400"/>
            <a:t>.</a:t>
          </a:r>
          <a:endParaRPr lang="en-US" sz="1400">
            <a:effectLst/>
          </a:endParaRPr>
        </a:p>
        <a:p>
          <a:r>
            <a:rPr lang="en-US" sz="1400">
              <a:solidFill>
                <a:schemeClr val="dk1"/>
              </a:solidFill>
              <a:effectLst/>
              <a:latin typeface="+mn-lt"/>
              <a:ea typeface="+mn-ea"/>
              <a:cs typeface="+mn-cs"/>
            </a:rPr>
            <a:t>	3)</a:t>
          </a:r>
          <a:r>
            <a:rPr lang="en-US" sz="1400" baseline="0">
              <a:solidFill>
                <a:schemeClr val="dk1"/>
              </a:solidFill>
              <a:effectLst/>
              <a:latin typeface="+mn-lt"/>
              <a:ea typeface="+mn-ea"/>
              <a:cs typeface="+mn-cs"/>
            </a:rPr>
            <a:t> </a:t>
          </a:r>
          <a:r>
            <a:rPr lang="en-US" sz="1400"/>
            <a:t>Click </a:t>
          </a:r>
          <a:r>
            <a:rPr lang="en-US" sz="1400" b="1"/>
            <a:t>Go</a:t>
          </a:r>
          <a:r>
            <a:rPr lang="en-US" sz="1400"/>
            <a:t>.</a:t>
          </a:r>
          <a:endParaRPr lang="en-US" sz="1400">
            <a:effectLst/>
          </a:endParaRPr>
        </a:p>
        <a:p>
          <a:r>
            <a:rPr lang="en-US" sz="1400">
              <a:solidFill>
                <a:schemeClr val="dk1"/>
              </a:solidFill>
              <a:effectLst/>
              <a:latin typeface="+mn-lt"/>
              <a:ea typeface="+mn-ea"/>
              <a:cs typeface="+mn-cs"/>
            </a:rPr>
            <a:t>	4)</a:t>
          </a:r>
          <a:r>
            <a:rPr lang="en-US" sz="1400" baseline="0">
              <a:solidFill>
                <a:schemeClr val="dk1"/>
              </a:solidFill>
              <a:effectLst/>
              <a:latin typeface="+mn-lt"/>
              <a:ea typeface="+mn-ea"/>
              <a:cs typeface="+mn-cs"/>
            </a:rPr>
            <a:t> </a:t>
          </a:r>
          <a:r>
            <a:rPr lang="en-US" sz="1400"/>
            <a:t>In the </a:t>
          </a:r>
          <a:r>
            <a:rPr lang="en-US" sz="1400" b="1"/>
            <a:t>Add-Ins available</a:t>
          </a:r>
          <a:r>
            <a:rPr lang="en-US" sz="1400"/>
            <a:t> box, select the </a:t>
          </a:r>
          <a:r>
            <a:rPr lang="en-US" sz="1400" b="1"/>
            <a:t>Solver Add-in</a:t>
          </a:r>
          <a:r>
            <a:rPr lang="en-US" sz="1400"/>
            <a:t> check box, and then click </a:t>
          </a:r>
          <a:r>
            <a:rPr lang="en-US" sz="1400" b="1"/>
            <a:t>OK</a:t>
          </a:r>
          <a:r>
            <a:rPr lang="en-US" sz="1400"/>
            <a:t>.</a:t>
          </a:r>
        </a:p>
        <a:p>
          <a:r>
            <a:rPr lang="en-US" sz="1400" b="1"/>
            <a:t>	Tip:</a:t>
          </a:r>
          <a:r>
            <a:rPr lang="en-US" sz="1400"/>
            <a:t>    If the </a:t>
          </a:r>
          <a:r>
            <a:rPr lang="en-US" sz="1400" b="1"/>
            <a:t>Solver Add-in</a:t>
          </a:r>
          <a:r>
            <a:rPr lang="en-US" sz="1400"/>
            <a:t> is not listed in the </a:t>
          </a:r>
          <a:r>
            <a:rPr lang="en-US" sz="1400" b="1"/>
            <a:t>Add-Ins available</a:t>
          </a:r>
          <a:r>
            <a:rPr lang="en-US" sz="1400"/>
            <a:t> box, click </a:t>
          </a:r>
          <a:r>
            <a:rPr lang="en-US" sz="1400" b="1"/>
            <a:t>Browse</a:t>
          </a:r>
          <a:r>
            <a:rPr lang="en-US" sz="1400"/>
            <a:t> to locate the add-in.</a:t>
          </a:r>
          <a:r>
            <a:rPr lang="en-US" sz="1400" baseline="0"/>
            <a:t> </a:t>
          </a:r>
          <a:r>
            <a:rPr lang="en-US" sz="1400"/>
            <a:t>If you get 		prompted that the Solver Add-in is not currently installed on your computer, click </a:t>
          </a:r>
          <a:r>
            <a:rPr lang="en-US" sz="1400" b="1"/>
            <a:t>Yes</a:t>
          </a:r>
          <a:r>
            <a:rPr lang="en-US" sz="1400"/>
            <a:t> to install it.</a:t>
          </a:r>
        </a:p>
        <a:p>
          <a:endParaRPr lang="en-US" sz="1400"/>
        </a:p>
        <a:p>
          <a:r>
            <a:rPr lang="en-US" sz="1400"/>
            <a:t>	</a:t>
          </a:r>
          <a:r>
            <a:rPr lang="en-US" sz="1400">
              <a:solidFill>
                <a:schemeClr val="dk1"/>
              </a:solidFill>
              <a:effectLst/>
              <a:latin typeface="+mn-lt"/>
              <a:ea typeface="+mn-ea"/>
              <a:cs typeface="+mn-cs"/>
            </a:rPr>
            <a:t>For earlier versions of Excel, please consult with Microsoft Support Service.</a:t>
          </a:r>
          <a:endParaRPr lang="en-US" sz="1400">
            <a:effectLst/>
          </a:endParaRPr>
        </a:p>
        <a:p>
          <a:endParaRPr lang="en-US" sz="1400">
            <a:effectLst/>
          </a:endParaRPr>
        </a:p>
        <a:p>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129395</xdr:colOff>
      <xdr:row>2</xdr:row>
      <xdr:rowOff>172529</xdr:rowOff>
    </xdr:from>
    <xdr:to>
      <xdr:col>3</xdr:col>
      <xdr:colOff>405441</xdr:colOff>
      <xdr:row>7</xdr:row>
      <xdr:rowOff>103517</xdr:rowOff>
    </xdr:to>
    <xdr:sp macro="" textlink="">
      <xdr:nvSpPr>
        <xdr:cNvPr id="2" name="Down Arrow 1">
          <a:extLst>
            <a:ext uri="{FF2B5EF4-FFF2-40B4-BE49-F238E27FC236}">
              <a16:creationId xmlns:a16="http://schemas.microsoft.com/office/drawing/2014/main" id="{00000000-0008-0000-0100-000002000000}"/>
            </a:ext>
          </a:extLst>
        </xdr:cNvPr>
        <xdr:cNvSpPr/>
      </xdr:nvSpPr>
      <xdr:spPr>
        <a:xfrm>
          <a:off x="1992701" y="534838"/>
          <a:ext cx="276046" cy="83676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43132</xdr:colOff>
          <xdr:row>9</xdr:row>
          <xdr:rowOff>8626</xdr:rowOff>
        </xdr:from>
        <xdr:to>
          <xdr:col>4</xdr:col>
          <xdr:colOff>388189</xdr:colOff>
          <xdr:row>15</xdr:row>
          <xdr:rowOff>120770</xdr:rowOff>
        </xdr:to>
        <xdr:sp macro="" textlink="">
          <xdr:nvSpPr>
            <xdr:cNvPr id="4100" name="Object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C0C0C0" mc:Ignorable="a14" a14:legacySpreadsheetColorIndex="22"/>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162033</xdr:colOff>
      <xdr:row>11</xdr:row>
      <xdr:rowOff>34074</xdr:rowOff>
    </xdr:from>
    <xdr:to>
      <xdr:col>4</xdr:col>
      <xdr:colOff>405873</xdr:colOff>
      <xdr:row>12</xdr:row>
      <xdr:rowOff>96040</xdr:rowOff>
    </xdr:to>
    <xdr:sp macro="" textlink="">
      <xdr:nvSpPr>
        <xdr:cNvPr id="3" name="Oval 2" descr="&quot;&quot;">
          <a:extLst>
            <a:ext uri="{FF2B5EF4-FFF2-40B4-BE49-F238E27FC236}">
              <a16:creationId xmlns:a16="http://schemas.microsoft.com/office/drawing/2014/main" id="{00000000-0008-0000-0200-000003000000}"/>
            </a:ext>
          </a:extLst>
        </xdr:cNvPr>
        <xdr:cNvSpPr/>
      </xdr:nvSpPr>
      <xdr:spPr>
        <a:xfrm>
          <a:off x="3000124" y="2233810"/>
          <a:ext cx="243840" cy="251747"/>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169653</xdr:colOff>
      <xdr:row>16</xdr:row>
      <xdr:rowOff>10208</xdr:rowOff>
    </xdr:from>
    <xdr:to>
      <xdr:col>4</xdr:col>
      <xdr:colOff>413493</xdr:colOff>
      <xdr:row>17</xdr:row>
      <xdr:rowOff>63548</xdr:rowOff>
    </xdr:to>
    <xdr:sp macro="" textlink="">
      <xdr:nvSpPr>
        <xdr:cNvPr id="4" name="Oval 3" descr="&quot;&quot;">
          <a:extLst>
            <a:ext uri="{FF2B5EF4-FFF2-40B4-BE49-F238E27FC236}">
              <a16:creationId xmlns:a16="http://schemas.microsoft.com/office/drawing/2014/main" id="{00000000-0008-0000-0200-000004000000}"/>
            </a:ext>
          </a:extLst>
        </xdr:cNvPr>
        <xdr:cNvSpPr/>
      </xdr:nvSpPr>
      <xdr:spPr>
        <a:xfrm>
          <a:off x="3007744" y="3210608"/>
          <a:ext cx="243840" cy="243121"/>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176266</xdr:colOff>
      <xdr:row>22</xdr:row>
      <xdr:rowOff>25448</xdr:rowOff>
    </xdr:from>
    <xdr:to>
      <xdr:col>4</xdr:col>
      <xdr:colOff>420106</xdr:colOff>
      <xdr:row>23</xdr:row>
      <xdr:rowOff>78788</xdr:rowOff>
    </xdr:to>
    <xdr:sp macro="" textlink="">
      <xdr:nvSpPr>
        <xdr:cNvPr id="5" name="Oval 4" descr="&quot;&quot;">
          <a:extLst>
            <a:ext uri="{FF2B5EF4-FFF2-40B4-BE49-F238E27FC236}">
              <a16:creationId xmlns:a16="http://schemas.microsoft.com/office/drawing/2014/main" id="{00000000-0008-0000-0200-000005000000}"/>
            </a:ext>
          </a:extLst>
        </xdr:cNvPr>
        <xdr:cNvSpPr/>
      </xdr:nvSpPr>
      <xdr:spPr>
        <a:xfrm>
          <a:off x="3014357" y="4407667"/>
          <a:ext cx="243840" cy="243121"/>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8626</xdr:colOff>
      <xdr:row>11</xdr:row>
      <xdr:rowOff>120769</xdr:rowOff>
    </xdr:from>
    <xdr:to>
      <xdr:col>8</xdr:col>
      <xdr:colOff>8626</xdr:colOff>
      <xdr:row>22</xdr:row>
      <xdr:rowOff>138023</xdr:rowOff>
    </xdr:to>
    <xdr:cxnSp macro="">
      <xdr:nvCxnSpPr>
        <xdr:cNvPr id="6" name="Straight Arrow Connector 5" descr="&quot;&quot;">
          <a:extLst>
            <a:ext uri="{FF2B5EF4-FFF2-40B4-BE49-F238E27FC236}">
              <a16:creationId xmlns:a16="http://schemas.microsoft.com/office/drawing/2014/main" id="{00000000-0008-0000-0200-000006000000}"/>
            </a:ext>
          </a:extLst>
        </xdr:cNvPr>
        <xdr:cNvCxnSpPr/>
      </xdr:nvCxnSpPr>
      <xdr:spPr>
        <a:xfrm>
          <a:off x="4882551" y="2320505"/>
          <a:ext cx="0" cy="2199737"/>
        </a:xfrm>
        <a:prstGeom prst="straightConnector1">
          <a:avLst/>
        </a:prstGeom>
        <a:ln w="952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403860</xdr:colOff>
      <xdr:row>17</xdr:row>
      <xdr:rowOff>0</xdr:rowOff>
    </xdr:from>
    <xdr:to>
      <xdr:col>9</xdr:col>
      <xdr:colOff>182880</xdr:colOff>
      <xdr:row>17</xdr:row>
      <xdr:rowOff>0</xdr:rowOff>
    </xdr:to>
    <xdr:cxnSp macro="">
      <xdr:nvCxnSpPr>
        <xdr:cNvPr id="7" name="Straight Connector 6" descr="&quot;&quot;">
          <a:extLst>
            <a:ext uri="{FF2B5EF4-FFF2-40B4-BE49-F238E27FC236}">
              <a16:creationId xmlns:a16="http://schemas.microsoft.com/office/drawing/2014/main" id="{00000000-0008-0000-0200-000007000000}"/>
            </a:ext>
          </a:extLst>
        </xdr:cNvPr>
        <xdr:cNvCxnSpPr/>
      </xdr:nvCxnSpPr>
      <xdr:spPr>
        <a:xfrm>
          <a:off x="5204460" y="3337560"/>
          <a:ext cx="388620"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11</xdr:row>
      <xdr:rowOff>103517</xdr:rowOff>
    </xdr:from>
    <xdr:to>
      <xdr:col>9</xdr:col>
      <xdr:colOff>0</xdr:colOff>
      <xdr:row>17</xdr:row>
      <xdr:rowOff>0</xdr:rowOff>
    </xdr:to>
    <xdr:cxnSp macro="">
      <xdr:nvCxnSpPr>
        <xdr:cNvPr id="9" name="Straight Arrow Connector 8" descr="&quot;&quot;">
          <a:extLst>
            <a:ext uri="{FF2B5EF4-FFF2-40B4-BE49-F238E27FC236}">
              <a16:creationId xmlns:a16="http://schemas.microsoft.com/office/drawing/2014/main" id="{00000000-0008-0000-0200-000009000000}"/>
            </a:ext>
          </a:extLst>
        </xdr:cNvPr>
        <xdr:cNvCxnSpPr/>
      </xdr:nvCxnSpPr>
      <xdr:spPr>
        <a:xfrm>
          <a:off x="5477774" y="2268747"/>
          <a:ext cx="0" cy="1086928"/>
        </a:xfrm>
        <a:prstGeom prst="straightConnector1">
          <a:avLst/>
        </a:prstGeom>
        <a:ln w="952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13</xdr:col>
          <xdr:colOff>293298</xdr:colOff>
          <xdr:row>1</xdr:row>
          <xdr:rowOff>34506</xdr:rowOff>
        </xdr:from>
        <xdr:to>
          <xdr:col>15</xdr:col>
          <xdr:colOff>8626</xdr:colOff>
          <xdr:row>3</xdr:row>
          <xdr:rowOff>94891</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Calculate Seepage</a:t>
              </a:r>
            </a:p>
          </xdr:txBody>
        </xdr:sp>
        <xdr:clientData fPrintsWithSheet="0"/>
      </xdr:twoCellAnchor>
    </mc:Choice>
    <mc:Fallback/>
  </mc:AlternateContent>
  <xdr:twoCellAnchor>
    <xdr:from>
      <xdr:col>7</xdr:col>
      <xdr:colOff>387613</xdr:colOff>
      <xdr:row>11</xdr:row>
      <xdr:rowOff>110130</xdr:rowOff>
    </xdr:from>
    <xdr:to>
      <xdr:col>8</xdr:col>
      <xdr:colOff>166633</xdr:colOff>
      <xdr:row>11</xdr:row>
      <xdr:rowOff>110130</xdr:rowOff>
    </xdr:to>
    <xdr:cxnSp macro="">
      <xdr:nvCxnSpPr>
        <xdr:cNvPr id="12" name="Straight Connector 11" descr="&quot;&quot;">
          <a:extLst>
            <a:ext uri="{FF2B5EF4-FFF2-40B4-BE49-F238E27FC236}">
              <a16:creationId xmlns:a16="http://schemas.microsoft.com/office/drawing/2014/main" id="{00000000-0008-0000-0200-00000C000000}"/>
            </a:ext>
          </a:extLst>
        </xdr:cNvPr>
        <xdr:cNvCxnSpPr/>
      </xdr:nvCxnSpPr>
      <xdr:spPr>
        <a:xfrm>
          <a:off x="4657688" y="2275360"/>
          <a:ext cx="382870"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404866</xdr:colOff>
      <xdr:row>11</xdr:row>
      <xdr:rowOff>110131</xdr:rowOff>
    </xdr:from>
    <xdr:to>
      <xdr:col>9</xdr:col>
      <xdr:colOff>163901</xdr:colOff>
      <xdr:row>11</xdr:row>
      <xdr:rowOff>112144</xdr:rowOff>
    </xdr:to>
    <xdr:cxnSp macro="">
      <xdr:nvCxnSpPr>
        <xdr:cNvPr id="13" name="Straight Connector 12" descr="&quot;&quot;">
          <a:extLst>
            <a:ext uri="{FF2B5EF4-FFF2-40B4-BE49-F238E27FC236}">
              <a16:creationId xmlns:a16="http://schemas.microsoft.com/office/drawing/2014/main" id="{00000000-0008-0000-0200-00000D000000}"/>
            </a:ext>
          </a:extLst>
        </xdr:cNvPr>
        <xdr:cNvCxnSpPr/>
      </xdr:nvCxnSpPr>
      <xdr:spPr>
        <a:xfrm>
          <a:off x="5278791" y="2275361"/>
          <a:ext cx="362884" cy="2013"/>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427726</xdr:colOff>
      <xdr:row>22</xdr:row>
      <xdr:rowOff>169509</xdr:rowOff>
    </xdr:from>
    <xdr:to>
      <xdr:col>8</xdr:col>
      <xdr:colOff>206746</xdr:colOff>
      <xdr:row>22</xdr:row>
      <xdr:rowOff>169509</xdr:rowOff>
    </xdr:to>
    <xdr:cxnSp macro="">
      <xdr:nvCxnSpPr>
        <xdr:cNvPr id="14" name="Straight Connector 13" descr="&quot;&quot;">
          <a:extLst>
            <a:ext uri="{FF2B5EF4-FFF2-40B4-BE49-F238E27FC236}">
              <a16:creationId xmlns:a16="http://schemas.microsoft.com/office/drawing/2014/main" id="{00000000-0008-0000-0200-00000E000000}"/>
            </a:ext>
          </a:extLst>
        </xdr:cNvPr>
        <xdr:cNvCxnSpPr/>
      </xdr:nvCxnSpPr>
      <xdr:spPr>
        <a:xfrm>
          <a:off x="4697801" y="4551728"/>
          <a:ext cx="382870"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14</xdr:col>
          <xdr:colOff>267419</xdr:colOff>
          <xdr:row>4</xdr:row>
          <xdr:rowOff>0</xdr:rowOff>
        </xdr:from>
        <xdr:to>
          <xdr:col>15</xdr:col>
          <xdr:colOff>0</xdr:colOff>
          <xdr:row>5</xdr:row>
          <xdr:rowOff>155275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Reset</a:t>
              </a:r>
            </a:p>
          </xdr:txBody>
        </xdr:sp>
        <xdr:clientData fPrintsWithSheet="0"/>
      </xdr:twoCellAnchor>
    </mc:Choice>
    <mc:Fallback/>
  </mc:AlternateContent>
  <xdr:twoCellAnchor>
    <xdr:from>
      <xdr:col>12</xdr:col>
      <xdr:colOff>0</xdr:colOff>
      <xdr:row>9</xdr:row>
      <xdr:rowOff>0</xdr:rowOff>
    </xdr:from>
    <xdr:to>
      <xdr:col>12</xdr:col>
      <xdr:colOff>254000</xdr:colOff>
      <xdr:row>13</xdr:row>
      <xdr:rowOff>170611</xdr:rowOff>
    </xdr:to>
    <xdr:sp macro="" textlink="">
      <xdr:nvSpPr>
        <xdr:cNvPr id="8" name="UpArrow">
          <a:extLst>
            <a:ext uri="{FF2B5EF4-FFF2-40B4-BE49-F238E27FC236}">
              <a16:creationId xmlns:a16="http://schemas.microsoft.com/office/drawing/2014/main" id="{2BCC1A34-100A-427A-B378-3597064D515F}"/>
            </a:ext>
          </a:extLst>
        </xdr:cNvPr>
        <xdr:cNvSpPr/>
      </xdr:nvSpPr>
      <xdr:spPr>
        <a:xfrm>
          <a:off x="7375585" y="1725283"/>
          <a:ext cx="254000" cy="1016000"/>
        </a:xfrm>
        <a:prstGeom prst="upArrow">
          <a:avLst/>
        </a:prstGeom>
        <a:solidFill>
          <a:schemeClr val="bg1">
            <a:lumMod val="10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170660</xdr:colOff>
      <xdr:row>11</xdr:row>
      <xdr:rowOff>42702</xdr:rowOff>
    </xdr:from>
    <xdr:to>
      <xdr:col>4</xdr:col>
      <xdr:colOff>414500</xdr:colOff>
      <xdr:row>12</xdr:row>
      <xdr:rowOff>104668</xdr:rowOff>
    </xdr:to>
    <xdr:sp macro="" textlink="">
      <xdr:nvSpPr>
        <xdr:cNvPr id="3" name="Oval 2" descr="&quot;&quot;">
          <a:extLst>
            <a:ext uri="{FF2B5EF4-FFF2-40B4-BE49-F238E27FC236}">
              <a16:creationId xmlns:a16="http://schemas.microsoft.com/office/drawing/2014/main" id="{00000000-0008-0000-0300-000003000000}"/>
            </a:ext>
          </a:extLst>
        </xdr:cNvPr>
        <xdr:cNvSpPr/>
      </xdr:nvSpPr>
      <xdr:spPr>
        <a:xfrm>
          <a:off x="2991498" y="2242438"/>
          <a:ext cx="243840" cy="251747"/>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169652</xdr:colOff>
      <xdr:row>16</xdr:row>
      <xdr:rowOff>27461</xdr:rowOff>
    </xdr:from>
    <xdr:to>
      <xdr:col>4</xdr:col>
      <xdr:colOff>413492</xdr:colOff>
      <xdr:row>17</xdr:row>
      <xdr:rowOff>80801</xdr:rowOff>
    </xdr:to>
    <xdr:sp macro="" textlink="">
      <xdr:nvSpPr>
        <xdr:cNvPr id="4" name="Oval 3" descr="&quot;&quot;">
          <a:extLst>
            <a:ext uri="{FF2B5EF4-FFF2-40B4-BE49-F238E27FC236}">
              <a16:creationId xmlns:a16="http://schemas.microsoft.com/office/drawing/2014/main" id="{00000000-0008-0000-0300-000004000000}"/>
            </a:ext>
          </a:extLst>
        </xdr:cNvPr>
        <xdr:cNvSpPr/>
      </xdr:nvSpPr>
      <xdr:spPr>
        <a:xfrm>
          <a:off x="2990490" y="3227861"/>
          <a:ext cx="243840" cy="243121"/>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403860</xdr:colOff>
      <xdr:row>16</xdr:row>
      <xdr:rowOff>167640</xdr:rowOff>
    </xdr:from>
    <xdr:to>
      <xdr:col>9</xdr:col>
      <xdr:colOff>182880</xdr:colOff>
      <xdr:row>16</xdr:row>
      <xdr:rowOff>167640</xdr:rowOff>
    </xdr:to>
    <xdr:cxnSp macro="">
      <xdr:nvCxnSpPr>
        <xdr:cNvPr id="7" name="Straight Connector 6" descr="&quot;&quot;">
          <a:extLst>
            <a:ext uri="{FF2B5EF4-FFF2-40B4-BE49-F238E27FC236}">
              <a16:creationId xmlns:a16="http://schemas.microsoft.com/office/drawing/2014/main" id="{00000000-0008-0000-0300-000007000000}"/>
            </a:ext>
          </a:extLst>
        </xdr:cNvPr>
        <xdr:cNvCxnSpPr/>
      </xdr:nvCxnSpPr>
      <xdr:spPr>
        <a:xfrm>
          <a:off x="5280660" y="3322320"/>
          <a:ext cx="388620"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601981</xdr:colOff>
      <xdr:row>11</xdr:row>
      <xdr:rowOff>138023</xdr:rowOff>
    </xdr:from>
    <xdr:to>
      <xdr:col>9</xdr:col>
      <xdr:colOff>0</xdr:colOff>
      <xdr:row>16</xdr:row>
      <xdr:rowOff>160020</xdr:rowOff>
    </xdr:to>
    <xdr:cxnSp macro="">
      <xdr:nvCxnSpPr>
        <xdr:cNvPr id="9" name="Straight Arrow Connector 8" descr="&quot;&quot;">
          <a:extLst>
            <a:ext uri="{FF2B5EF4-FFF2-40B4-BE49-F238E27FC236}">
              <a16:creationId xmlns:a16="http://schemas.microsoft.com/office/drawing/2014/main" id="{00000000-0008-0000-0300-000009000000}"/>
            </a:ext>
          </a:extLst>
        </xdr:cNvPr>
        <xdr:cNvCxnSpPr/>
      </xdr:nvCxnSpPr>
      <xdr:spPr>
        <a:xfrm flipH="1">
          <a:off x="5458653" y="2303253"/>
          <a:ext cx="1868" cy="1022661"/>
        </a:xfrm>
        <a:prstGeom prst="straightConnector1">
          <a:avLst/>
        </a:prstGeom>
        <a:ln w="952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13</xdr:col>
          <xdr:colOff>189781</xdr:colOff>
          <xdr:row>1</xdr:row>
          <xdr:rowOff>112143</xdr:rowOff>
        </xdr:from>
        <xdr:to>
          <xdr:col>15</xdr:col>
          <xdr:colOff>8626</xdr:colOff>
          <xdr:row>4</xdr:row>
          <xdr:rowOff>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Calculate Seepage</a:t>
              </a:r>
            </a:p>
          </xdr:txBody>
        </xdr:sp>
        <xdr:clientData fPrintsWithSheet="0"/>
      </xdr:twoCellAnchor>
    </mc:Choice>
    <mc:Fallback/>
  </mc:AlternateContent>
  <xdr:twoCellAnchor>
    <xdr:from>
      <xdr:col>8</xdr:col>
      <xdr:colOff>413493</xdr:colOff>
      <xdr:row>11</xdr:row>
      <xdr:rowOff>119763</xdr:rowOff>
    </xdr:from>
    <xdr:to>
      <xdr:col>9</xdr:col>
      <xdr:colOff>192513</xdr:colOff>
      <xdr:row>11</xdr:row>
      <xdr:rowOff>119763</xdr:rowOff>
    </xdr:to>
    <xdr:cxnSp macro="">
      <xdr:nvCxnSpPr>
        <xdr:cNvPr id="11" name="Straight Connector 10" descr="&quot;&quot;">
          <a:extLst>
            <a:ext uri="{FF2B5EF4-FFF2-40B4-BE49-F238E27FC236}">
              <a16:creationId xmlns:a16="http://schemas.microsoft.com/office/drawing/2014/main" id="{00000000-0008-0000-0300-00000B000000}"/>
            </a:ext>
          </a:extLst>
        </xdr:cNvPr>
        <xdr:cNvCxnSpPr/>
      </xdr:nvCxnSpPr>
      <xdr:spPr>
        <a:xfrm>
          <a:off x="5270165" y="2284993"/>
          <a:ext cx="382869" cy="0"/>
        </a:xfrm>
        <a:prstGeom prst="line">
          <a:avLst/>
        </a:prstGeom>
        <a:ln w="95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14</xdr:col>
          <xdr:colOff>448574</xdr:colOff>
          <xdr:row>4</xdr:row>
          <xdr:rowOff>103517</xdr:rowOff>
        </xdr:from>
        <xdr:to>
          <xdr:col>15</xdr:col>
          <xdr:colOff>8626</xdr:colOff>
          <xdr:row>6</xdr:row>
          <xdr:rowOff>60385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Reset</a:t>
              </a:r>
            </a:p>
          </xdr:txBody>
        </xdr:sp>
        <xdr:clientData fPrintsWithSheet="0"/>
      </xdr:twoCellAnchor>
    </mc:Choice>
    <mc:Fallback/>
  </mc:AlternateContent>
  <xdr:twoCellAnchor>
    <xdr:from>
      <xdr:col>12</xdr:col>
      <xdr:colOff>0</xdr:colOff>
      <xdr:row>9</xdr:row>
      <xdr:rowOff>0</xdr:rowOff>
    </xdr:from>
    <xdr:to>
      <xdr:col>12</xdr:col>
      <xdr:colOff>254000</xdr:colOff>
      <xdr:row>13</xdr:row>
      <xdr:rowOff>170611</xdr:rowOff>
    </xdr:to>
    <xdr:sp macro="" textlink="">
      <xdr:nvSpPr>
        <xdr:cNvPr id="5" name="UpArrow">
          <a:extLst>
            <a:ext uri="{FF2B5EF4-FFF2-40B4-BE49-F238E27FC236}">
              <a16:creationId xmlns:a16="http://schemas.microsoft.com/office/drawing/2014/main" id="{565C7F04-34AE-4D91-A838-94E96242C5B9}"/>
            </a:ext>
          </a:extLst>
        </xdr:cNvPr>
        <xdr:cNvSpPr/>
      </xdr:nvSpPr>
      <xdr:spPr>
        <a:xfrm>
          <a:off x="7272068" y="1725283"/>
          <a:ext cx="254000" cy="1016000"/>
        </a:xfrm>
        <a:prstGeom prst="upArrow">
          <a:avLst/>
        </a:prstGeom>
        <a:solidFill>
          <a:schemeClr val="bg1">
            <a:lumMod val="10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oneCellAnchor>
    <xdr:from>
      <xdr:col>5</xdr:col>
      <xdr:colOff>9526</xdr:colOff>
      <xdr:row>1</xdr:row>
      <xdr:rowOff>9525</xdr:rowOff>
    </xdr:from>
    <xdr:ext cx="5476874" cy="5362575"/>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892741" y="207933"/>
          <a:ext cx="5476874" cy="5362575"/>
        </a:xfrm>
        <a:prstGeom prst="rect">
          <a:avLst/>
        </a:prstGeom>
        <a:solidFill>
          <a:schemeClr val="bg1">
            <a:lumMod val="95000"/>
          </a:scheme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200" b="0"/>
            <a:t>Solution of the analytical equations</a:t>
          </a:r>
          <a:r>
            <a:rPr lang="en-US" sz="1200" b="0" baseline="0"/>
            <a:t> for steady-state conditions depends on input of values for the </a:t>
          </a:r>
          <a:r>
            <a:rPr lang="en-US" sz="1200" b="0" baseline="0">
              <a:solidFill>
                <a:schemeClr val="tx1"/>
              </a:solidFill>
              <a:effectLst/>
              <a:latin typeface="+mn-lt"/>
              <a:ea typeface="+mn-ea"/>
              <a:cs typeface="+mn-cs"/>
            </a:rPr>
            <a:t>volumetric heat capacity of </a:t>
          </a:r>
          <a:r>
            <a:rPr lang="en-US" sz="1200" b="0" baseline="0"/>
            <a:t>water and the </a:t>
          </a:r>
          <a:r>
            <a:rPr lang="en-US" sz="1200" b="0" baseline="0">
              <a:solidFill>
                <a:schemeClr val="tx1"/>
              </a:solidFill>
              <a:effectLst/>
              <a:latin typeface="+mn-lt"/>
              <a:ea typeface="+mn-ea"/>
              <a:cs typeface="+mn-cs"/>
            </a:rPr>
            <a:t>thermal conductivity of sediment</a:t>
          </a:r>
          <a:r>
            <a:rPr lang="en-US" sz="1200" b="0" baseline="0"/>
            <a:t>.  The value of the volumetric heat capacity of water will vary between 4.19x10</a:t>
          </a:r>
          <a:r>
            <a:rPr lang="en-US" sz="1200" b="0" baseline="30000"/>
            <a:t>6</a:t>
          </a:r>
          <a:r>
            <a:rPr lang="en-US" sz="1200" b="0" baseline="0"/>
            <a:t> and </a:t>
          </a:r>
          <a:r>
            <a:rPr lang="en-US" sz="1200" b="0" baseline="0">
              <a:solidFill>
                <a:schemeClr val="tx1"/>
              </a:solidFill>
              <a:effectLst/>
              <a:latin typeface="+mn-lt"/>
              <a:ea typeface="+mn-ea"/>
              <a:cs typeface="+mn-cs"/>
            </a:rPr>
            <a:t>4.12x10</a:t>
          </a:r>
          <a:r>
            <a:rPr lang="en-US" sz="1200" b="0" baseline="30000">
              <a:solidFill>
                <a:schemeClr val="tx1"/>
              </a:solidFill>
              <a:effectLst/>
              <a:latin typeface="+mn-lt"/>
              <a:ea typeface="+mn-ea"/>
              <a:cs typeface="+mn-cs"/>
            </a:rPr>
            <a:t>6</a:t>
          </a:r>
          <a:r>
            <a:rPr lang="en-US" sz="1200" b="0" baseline="0">
              <a:solidFill>
                <a:schemeClr val="tx1"/>
              </a:solidFill>
              <a:effectLst/>
              <a:latin typeface="+mn-lt"/>
              <a:ea typeface="+mn-ea"/>
              <a:cs typeface="+mn-cs"/>
            </a:rPr>
            <a:t> J/m</a:t>
          </a:r>
          <a:r>
            <a:rPr lang="en-US" sz="1200" b="0" baseline="30000">
              <a:solidFill>
                <a:schemeClr val="tx1"/>
              </a:solidFill>
              <a:effectLst/>
              <a:latin typeface="+mn-lt"/>
              <a:ea typeface="+mn-ea"/>
              <a:cs typeface="+mn-cs"/>
            </a:rPr>
            <a:t>3</a:t>
          </a:r>
          <a:r>
            <a:rPr lang="en-US" sz="1200" baseline="0">
              <a:solidFill>
                <a:schemeClr val="tx1"/>
              </a:solidFill>
              <a:effectLst/>
              <a:latin typeface="+mn-lt"/>
              <a:ea typeface="+mn-ea"/>
              <a:cs typeface="+mn-cs"/>
            </a:rPr>
            <a:t>-°C</a:t>
          </a:r>
          <a:r>
            <a:rPr lang="en-US" sz="1200" b="0" baseline="0">
              <a:solidFill>
                <a:schemeClr val="tx1"/>
              </a:solidFill>
              <a:effectLst/>
              <a:latin typeface="+mn-lt"/>
              <a:ea typeface="+mn-ea"/>
              <a:cs typeface="+mn-cs"/>
            </a:rPr>
            <a:t> </a:t>
          </a:r>
          <a:r>
            <a:rPr lang="en-US" sz="1200" b="0" baseline="0"/>
            <a:t>as a function of salinity from freshwater (salinity 0 ppt) to seawater (salinity 35 ppt) </a:t>
          </a:r>
          <a:r>
            <a:rPr lang="en-US" sz="1200" b="0" baseline="0">
              <a:solidFill>
                <a:schemeClr val="tx1"/>
              </a:solidFill>
              <a:effectLst/>
              <a:latin typeface="+mn-lt"/>
              <a:ea typeface="+mn-ea"/>
              <a:cs typeface="+mn-cs"/>
            </a:rPr>
            <a:t>at 20</a:t>
          </a:r>
          <a:r>
            <a:rPr lang="en-US" sz="1200" baseline="0">
              <a:solidFill>
                <a:schemeClr val="tx1"/>
              </a:solidFill>
              <a:effectLst/>
              <a:latin typeface="+mn-lt"/>
              <a:ea typeface="+mn-ea"/>
              <a:cs typeface="+mn-cs"/>
            </a:rPr>
            <a:t>°C. </a:t>
          </a:r>
          <a:r>
            <a:rPr lang="en-US" sz="1200" b="0" baseline="0">
              <a:solidFill>
                <a:schemeClr val="tx1"/>
              </a:solidFill>
              <a:effectLst/>
              <a:latin typeface="+mn-lt"/>
              <a:ea typeface="+mn-ea"/>
              <a:cs typeface="+mn-cs"/>
            </a:rPr>
            <a:t> Sharqawy et al. (2010) provide a review of mathematical relationships that can be used to calculate values at other temperatures and salinity.  </a:t>
          </a:r>
          <a:r>
            <a:rPr lang="en-US" sz="1200" baseline="0"/>
            <a:t>A description of the factors that influence sediment thermal conductivity has been summarized in Stonestrom and Constanz (2003).  The grain size of sediment materials and the organic matter content are two important factors that influence the value of this parameter.  Stonestrom and Constanz (2003) provided a review of measured or estimated values for a variety of porous materials and a commonly recommended default value for sediments is 1.84 J/m.s.°C.  This value is representative of a sandy sediment with little or no organic matter.  However, Duque et al (2016) have shown that use of this default value can lead to overestimation of calculated seepage flux by a factor of 30%, which can be significant in locations with seepage flux on the order of 1 cm/day or less.  Characteristics of the sediment material will be influenced by the local surficial geology, sediment depositional environment, and the presence of vegetation or other sources of organic matter.  </a:t>
          </a:r>
          <a:r>
            <a:rPr lang="en-US" sz="1200" baseline="0">
              <a:solidFill>
                <a:schemeClr val="tx1"/>
              </a:solidFill>
              <a:effectLst/>
              <a:latin typeface="+mn-lt"/>
              <a:ea typeface="+mn-ea"/>
              <a:cs typeface="+mn-cs"/>
            </a:rPr>
            <a:t>In order to provide an updated point of reference for selection of sediment thermal conductivity for a range of depositional systems for inland and coastal environments, a</a:t>
          </a:r>
          <a:r>
            <a:rPr lang="en-US" sz="1200" baseline="0"/>
            <a:t> review was conducted of studies where sediment thermal conductivity was measured directly or specifically optimized during model calibration.  These results are summarized in the table at left, which indicates that the common default value of </a:t>
          </a:r>
          <a:r>
            <a:rPr lang="en-US" sz="1200" baseline="0">
              <a:solidFill>
                <a:schemeClr val="tx1"/>
              </a:solidFill>
              <a:effectLst/>
              <a:latin typeface="+mn-lt"/>
              <a:ea typeface="+mn-ea"/>
              <a:cs typeface="+mn-cs"/>
            </a:rPr>
            <a:t>1.84 J/m.s.°C represents the high end of the distribution.  The sediment origin, type and texture descriptors listed in the table can be used to select a value that seems appropriate for the investigated water body.  Alternatively, measurements of thermal conductivity on sampled sediment cores can provide a more direct assessment of the value(s) to use for modeling.</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60385</xdr:colOff>
      <xdr:row>0</xdr:row>
      <xdr:rowOff>60386</xdr:rowOff>
    </xdr:from>
    <xdr:to>
      <xdr:col>13</xdr:col>
      <xdr:colOff>163901</xdr:colOff>
      <xdr:row>26</xdr:row>
      <xdr:rowOff>17252</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60385" y="60386"/>
          <a:ext cx="8177841" cy="4666889"/>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Bob Lien</a:t>
          </a:r>
        </a:p>
        <a:p>
          <a:r>
            <a:rPr lang="en-US" sz="1400">
              <a:solidFill>
                <a:schemeClr val="dk1"/>
              </a:solidFill>
              <a:effectLst/>
              <a:latin typeface="+mn-lt"/>
              <a:ea typeface="+mn-ea"/>
              <a:cs typeface="+mn-cs"/>
            </a:rPr>
            <a:t>USEPA Office of Research &amp; Development</a:t>
          </a:r>
        </a:p>
        <a:p>
          <a:r>
            <a:rPr lang="en-US" sz="1400">
              <a:solidFill>
                <a:schemeClr val="dk1"/>
              </a:solidFill>
              <a:effectLst/>
              <a:latin typeface="+mn-lt"/>
              <a:ea typeface="+mn-ea"/>
              <a:cs typeface="+mn-cs"/>
            </a:rPr>
            <a:t>26 West Martin Luther King Drive</a:t>
          </a:r>
        </a:p>
        <a:p>
          <a:r>
            <a:rPr lang="en-US" sz="1400">
              <a:solidFill>
                <a:schemeClr val="dk1"/>
              </a:solidFill>
              <a:effectLst/>
              <a:latin typeface="+mn-lt"/>
              <a:ea typeface="+mn-ea"/>
              <a:cs typeface="+mn-cs"/>
            </a:rPr>
            <a:t>Cincinnati, Ohio 45268</a:t>
          </a:r>
        </a:p>
        <a:p>
          <a:r>
            <a:rPr lang="en-US" sz="1400">
              <a:solidFill>
                <a:schemeClr val="dk1"/>
              </a:solidFill>
              <a:effectLst/>
              <a:latin typeface="+mn-lt"/>
              <a:ea typeface="+mn-ea"/>
              <a:cs typeface="+mn-cs"/>
            </a:rPr>
            <a:t>513-569-7443 voice</a:t>
          </a:r>
        </a:p>
        <a:p>
          <a:r>
            <a:rPr lang="en-US" sz="1400"/>
            <a:t>lien.bob@epa.gov</a:t>
          </a:r>
        </a:p>
        <a:p>
          <a:endParaRPr lang="en-US" sz="1400"/>
        </a:p>
        <a:p>
          <a:r>
            <a:rPr lang="en-US" sz="1400"/>
            <a:t>OR</a:t>
          </a:r>
        </a:p>
        <a:p>
          <a:endParaRPr lang="en-US" sz="1400"/>
        </a:p>
        <a:p>
          <a:r>
            <a:rPr lang="en-US" sz="1400">
              <a:solidFill>
                <a:schemeClr val="dk1"/>
              </a:solidFill>
              <a:effectLst/>
              <a:latin typeface="+mn-lt"/>
              <a:ea typeface="+mn-ea"/>
              <a:cs typeface="+mn-cs"/>
            </a:rPr>
            <a:t>Robert Ford</a:t>
          </a:r>
          <a:endParaRPr lang="en-US" sz="1400">
            <a:effectLst/>
          </a:endParaRPr>
        </a:p>
        <a:p>
          <a:r>
            <a:rPr lang="en-US" sz="1400">
              <a:solidFill>
                <a:schemeClr val="dk1"/>
              </a:solidFill>
              <a:effectLst/>
              <a:latin typeface="+mn-lt"/>
              <a:ea typeface="+mn-ea"/>
              <a:cs typeface="+mn-cs"/>
            </a:rPr>
            <a:t>USEPA Office of Research &amp; Development</a:t>
          </a:r>
          <a:endParaRPr lang="en-US" sz="1400">
            <a:effectLst/>
          </a:endParaRPr>
        </a:p>
        <a:p>
          <a:r>
            <a:rPr lang="en-US" sz="1400">
              <a:solidFill>
                <a:schemeClr val="dk1"/>
              </a:solidFill>
              <a:effectLst/>
              <a:latin typeface="+mn-lt"/>
              <a:ea typeface="+mn-ea"/>
              <a:cs typeface="+mn-cs"/>
            </a:rPr>
            <a:t>26 West Martin Luther King Drive</a:t>
          </a:r>
          <a:endParaRPr lang="en-US" sz="1400">
            <a:effectLst/>
          </a:endParaRPr>
        </a:p>
        <a:p>
          <a:r>
            <a:rPr lang="en-US" sz="1400">
              <a:solidFill>
                <a:schemeClr val="dk1"/>
              </a:solidFill>
              <a:effectLst/>
              <a:latin typeface="+mn-lt"/>
              <a:ea typeface="+mn-ea"/>
              <a:cs typeface="+mn-cs"/>
            </a:rPr>
            <a:t>Cincinnati, Ohio 45268</a:t>
          </a:r>
          <a:endParaRPr lang="en-US" sz="1400">
            <a:effectLst/>
          </a:endParaRPr>
        </a:p>
        <a:p>
          <a:r>
            <a:rPr lang="en-US" sz="1400">
              <a:solidFill>
                <a:schemeClr val="dk1"/>
              </a:solidFill>
              <a:effectLst/>
              <a:latin typeface="+mn-lt"/>
              <a:ea typeface="+mn-ea"/>
              <a:cs typeface="+mn-cs"/>
            </a:rPr>
            <a:t>513-569-7501 voice</a:t>
          </a:r>
          <a:endParaRPr lang="en-US" sz="1400">
            <a:effectLst/>
          </a:endParaRPr>
        </a:p>
        <a:p>
          <a:r>
            <a:rPr lang="en-US" sz="1400">
              <a:solidFill>
                <a:schemeClr val="dk1"/>
              </a:solidFill>
              <a:effectLst/>
              <a:latin typeface="+mn-lt"/>
              <a:ea typeface="+mn-ea"/>
              <a:cs typeface="+mn-cs"/>
            </a:rPr>
            <a:t>ford.robert@epa.gov</a:t>
          </a:r>
          <a:endParaRPr lang="en-US" sz="1400">
            <a:effectLst/>
          </a:endParaRP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showRowColHeaders="0" tabSelected="1" workbookViewId="0">
      <selection activeCell="N11" sqref="N11"/>
    </sheetView>
  </sheetViews>
  <sheetFormatPr defaultColWidth="11.375" defaultRowHeight="12.9" x14ac:dyDescent="0.2"/>
  <cols>
    <col min="1" max="16384" width="11.375" style="2"/>
  </cols>
  <sheetData/>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C2"/>
  <sheetViews>
    <sheetView showGridLines="0" showRowColHeaders="0" workbookViewId="0">
      <selection activeCell="I12" sqref="I12"/>
    </sheetView>
  </sheetViews>
  <sheetFormatPr defaultRowHeight="14.3" x14ac:dyDescent="0.25"/>
  <sheetData>
    <row r="2" spans="3:3" x14ac:dyDescent="0.25">
      <c r="C2" t="s">
        <v>22</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Document" dvAspect="DVASPECT_ICON" shapeId="4100" r:id="rId4">
          <objectPr defaultSize="0" autoPict="0" r:id="rId5">
            <anchor moveWithCells="1">
              <from>
                <xdr:col>2</xdr:col>
                <xdr:colOff>43132</xdr:colOff>
                <xdr:row>9</xdr:row>
                <xdr:rowOff>8626</xdr:rowOff>
              </from>
              <to>
                <xdr:col>4</xdr:col>
                <xdr:colOff>388189</xdr:colOff>
                <xdr:row>15</xdr:row>
                <xdr:rowOff>120770</xdr:rowOff>
              </to>
            </anchor>
          </objectPr>
        </oleObject>
      </mc:Choice>
      <mc:Fallback>
        <oleObject progId="Document" dvAspect="DVASPECT_ICON" shapeId="4100"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9" tint="0.59999389629810485"/>
  </sheetPr>
  <dimension ref="A1:T30"/>
  <sheetViews>
    <sheetView showGridLines="0" showRowColHeaders="0" workbookViewId="0">
      <selection activeCell="O10" sqref="O10"/>
    </sheetView>
  </sheetViews>
  <sheetFormatPr defaultColWidth="8.75" defaultRowHeight="14.3" x14ac:dyDescent="0.25"/>
  <cols>
    <col min="3" max="3" width="10.25" customWidth="1"/>
    <col min="4" max="4" width="13.375" customWidth="1"/>
    <col min="5" max="5" width="7.25" customWidth="1"/>
    <col min="7" max="7" width="4.75" customWidth="1"/>
    <col min="12" max="12" width="10" customWidth="1"/>
    <col min="13" max="13" width="8.25" customWidth="1"/>
    <col min="15" max="15" width="16.25" customWidth="1"/>
  </cols>
  <sheetData>
    <row r="1" spans="1:20" x14ac:dyDescent="0.25">
      <c r="A1" s="3"/>
      <c r="B1" s="3"/>
      <c r="C1" s="3"/>
      <c r="D1" s="3"/>
      <c r="E1" s="3"/>
      <c r="F1" s="3"/>
      <c r="G1" s="3"/>
      <c r="H1" s="3"/>
      <c r="I1" s="3"/>
      <c r="J1" s="3"/>
      <c r="K1" s="3"/>
      <c r="L1" s="3"/>
      <c r="M1" s="3"/>
      <c r="N1" s="3"/>
      <c r="O1" s="3"/>
      <c r="P1" s="3"/>
      <c r="Q1" t="str">
        <f t="array" ref="Q1:Q29">""</f>
        <v/>
      </c>
    </row>
    <row r="2" spans="1:20" ht="14.95" thickBot="1" x14ac:dyDescent="0.3">
      <c r="A2" s="3"/>
      <c r="B2" s="4"/>
      <c r="C2" s="4"/>
      <c r="D2" s="4"/>
      <c r="E2" s="3"/>
      <c r="F2" s="3"/>
      <c r="G2" s="3"/>
      <c r="H2" s="3"/>
      <c r="I2" s="3"/>
      <c r="J2" s="3"/>
      <c r="K2" s="3"/>
      <c r="L2" s="3"/>
      <c r="M2" s="3"/>
      <c r="N2" s="3"/>
      <c r="O2" s="3"/>
      <c r="P2" s="3"/>
      <c r="Q2" t="str">
        <v/>
      </c>
    </row>
    <row r="3" spans="1:20" ht="15.65" thickTop="1" thickBot="1" x14ac:dyDescent="0.3">
      <c r="A3" s="3"/>
      <c r="B3" s="5" t="s">
        <v>16</v>
      </c>
      <c r="C3" s="30">
        <v>1.56</v>
      </c>
      <c r="D3" s="6" t="s">
        <v>8</v>
      </c>
      <c r="E3" s="3"/>
      <c r="F3" s="3"/>
      <c r="G3" s="3"/>
      <c r="H3" s="3"/>
      <c r="I3" s="3"/>
      <c r="J3" s="3"/>
      <c r="K3" s="3"/>
      <c r="L3" s="3"/>
      <c r="M3" s="3"/>
      <c r="N3" s="3"/>
      <c r="O3" s="3"/>
      <c r="P3" s="3"/>
      <c r="Q3" t="str">
        <v/>
      </c>
    </row>
    <row r="4" spans="1:20" ht="15.65" thickTop="1" thickBot="1" x14ac:dyDescent="0.3">
      <c r="A4" s="3"/>
      <c r="B4" s="7"/>
      <c r="C4" s="8"/>
      <c r="D4" s="7"/>
      <c r="E4" s="3"/>
      <c r="F4" s="3"/>
      <c r="G4" s="3"/>
      <c r="H4" s="3"/>
      <c r="I4" s="3"/>
      <c r="J4" s="3"/>
      <c r="K4" s="3"/>
      <c r="L4" s="3"/>
      <c r="M4" s="3"/>
      <c r="N4" s="3"/>
      <c r="O4" s="3"/>
      <c r="P4" s="3"/>
      <c r="Q4" t="str">
        <v/>
      </c>
    </row>
    <row r="5" spans="1:20" ht="17" thickTop="1" thickBot="1" x14ac:dyDescent="0.35">
      <c r="A5" s="3"/>
      <c r="B5" s="6" t="s">
        <v>15</v>
      </c>
      <c r="C5" s="31">
        <v>4190000</v>
      </c>
      <c r="D5" s="6" t="s">
        <v>9</v>
      </c>
      <c r="E5" s="3"/>
      <c r="F5" s="3"/>
      <c r="G5" s="3"/>
      <c r="H5" s="3"/>
      <c r="I5" s="3"/>
      <c r="J5" s="3"/>
      <c r="K5" s="3"/>
      <c r="L5" s="3"/>
      <c r="M5" s="3"/>
      <c r="N5" s="3"/>
      <c r="O5" s="3"/>
      <c r="P5" s="3"/>
      <c r="Q5" t="str">
        <v/>
      </c>
    </row>
    <row r="6" spans="1:20" ht="14.95" thickTop="1" x14ac:dyDescent="0.25">
      <c r="A6" s="3"/>
      <c r="B6" s="7"/>
      <c r="C6" s="9"/>
      <c r="D6" s="7"/>
      <c r="E6" s="3"/>
      <c r="F6" s="3"/>
      <c r="G6" s="3"/>
      <c r="H6" s="3"/>
      <c r="I6" s="3"/>
      <c r="J6" s="3"/>
      <c r="K6" s="3"/>
      <c r="L6" s="3"/>
      <c r="M6" s="3"/>
      <c r="N6" s="3"/>
      <c r="O6" s="3"/>
      <c r="P6" s="3"/>
      <c r="Q6" t="str">
        <v/>
      </c>
    </row>
    <row r="7" spans="1:20" x14ac:dyDescent="0.25">
      <c r="A7" s="3"/>
      <c r="B7" s="7"/>
      <c r="C7" s="3"/>
      <c r="D7" s="3"/>
      <c r="E7" s="3"/>
      <c r="F7" s="3"/>
      <c r="G7" s="3"/>
      <c r="H7" s="3"/>
      <c r="I7" s="3"/>
      <c r="J7" s="3"/>
      <c r="K7" s="3"/>
      <c r="L7" s="3"/>
      <c r="M7" s="3"/>
      <c r="N7" s="3"/>
      <c r="O7" s="3"/>
      <c r="P7" s="3"/>
      <c r="Q7" t="str">
        <v/>
      </c>
    </row>
    <row r="8" spans="1:20" x14ac:dyDescent="0.25">
      <c r="A8" s="3"/>
      <c r="B8" s="3"/>
      <c r="C8" s="3"/>
      <c r="D8" s="3"/>
      <c r="E8" s="10"/>
      <c r="F8" s="3"/>
      <c r="G8" s="3"/>
      <c r="H8" s="3"/>
      <c r="I8" s="3"/>
      <c r="J8" s="3"/>
      <c r="K8" s="3"/>
      <c r="L8" s="11"/>
      <c r="M8" s="12" t="str">
        <f>IF(O10&gt;0,"Upward Flow","")</f>
        <v>Upward Flow</v>
      </c>
      <c r="N8" s="3"/>
      <c r="O8" s="3"/>
      <c r="P8" s="3"/>
      <c r="Q8" t="str">
        <v/>
      </c>
    </row>
    <row r="9" spans="1:20" ht="14.95" thickBot="1" x14ac:dyDescent="0.3">
      <c r="A9" s="3"/>
      <c r="B9" s="3"/>
      <c r="C9" s="3"/>
      <c r="D9" s="3"/>
      <c r="E9" s="3"/>
      <c r="F9" s="3"/>
      <c r="G9" s="3"/>
      <c r="H9" s="3"/>
      <c r="I9" s="3"/>
      <c r="J9" s="3"/>
      <c r="K9" s="3"/>
      <c r="L9" s="3"/>
      <c r="M9" s="3"/>
      <c r="N9" s="10"/>
      <c r="O9" s="3"/>
      <c r="P9" s="3"/>
      <c r="Q9" t="str">
        <v/>
      </c>
    </row>
    <row r="10" spans="1:20" ht="18.350000000000001" thickTop="1" thickBot="1" x14ac:dyDescent="0.4">
      <c r="A10" s="3"/>
      <c r="B10" s="3"/>
      <c r="C10" s="3"/>
      <c r="D10" s="3"/>
      <c r="E10" s="11"/>
      <c r="F10" s="11"/>
      <c r="G10" s="11"/>
      <c r="H10" s="4"/>
      <c r="I10" s="10"/>
      <c r="J10" s="3"/>
      <c r="K10" s="3"/>
      <c r="L10" s="3"/>
      <c r="M10" s="3"/>
      <c r="N10" s="42" t="s">
        <v>10</v>
      </c>
      <c r="O10" s="33">
        <v>8.0726389875828808E-2</v>
      </c>
      <c r="P10" s="13" t="s">
        <v>7</v>
      </c>
      <c r="Q10" t="str">
        <v/>
      </c>
      <c r="T10" s="1"/>
    </row>
    <row r="11" spans="1:20" ht="19.05" thickTop="1" thickBot="1" x14ac:dyDescent="0.4">
      <c r="A11" s="3"/>
      <c r="B11" s="14" t="s">
        <v>0</v>
      </c>
      <c r="C11" s="3"/>
      <c r="D11" s="3"/>
      <c r="E11" s="13" t="s">
        <v>11</v>
      </c>
      <c r="F11" s="32">
        <v>19.87</v>
      </c>
      <c r="G11" s="13" t="s">
        <v>12</v>
      </c>
      <c r="H11" s="3"/>
      <c r="I11" s="3"/>
      <c r="J11" s="3"/>
      <c r="K11" s="3"/>
      <c r="L11" s="3"/>
      <c r="M11" s="3"/>
      <c r="N11" s="15"/>
      <c r="O11" s="16"/>
      <c r="P11" s="13"/>
      <c r="Q11" t="str">
        <v/>
      </c>
    </row>
    <row r="12" spans="1:20" ht="14.95" thickTop="1" x14ac:dyDescent="0.25">
      <c r="A12" s="17"/>
      <c r="B12" s="21" t="s">
        <v>1</v>
      </c>
      <c r="C12" s="17"/>
      <c r="D12" s="17"/>
      <c r="E12" s="17"/>
      <c r="F12" s="17"/>
      <c r="G12" s="17"/>
      <c r="H12" s="17"/>
      <c r="I12" s="17"/>
      <c r="J12" s="17"/>
      <c r="K12" s="17"/>
      <c r="L12" s="17"/>
      <c r="M12" s="17"/>
      <c r="N12" s="17"/>
      <c r="O12" s="17"/>
      <c r="P12" s="17"/>
      <c r="Q12" t="str">
        <v/>
      </c>
    </row>
    <row r="13" spans="1:20" x14ac:dyDescent="0.25">
      <c r="A13" s="17"/>
      <c r="B13" s="17"/>
      <c r="C13" s="17"/>
      <c r="D13" s="17"/>
      <c r="E13" s="17"/>
      <c r="F13" s="17"/>
      <c r="G13" s="17"/>
      <c r="H13" s="17"/>
      <c r="I13" s="17"/>
      <c r="J13" s="17"/>
      <c r="K13" s="17"/>
      <c r="L13" s="17"/>
      <c r="M13" s="17"/>
      <c r="N13" s="17"/>
      <c r="O13" s="17"/>
      <c r="P13" s="17"/>
      <c r="Q13" t="str">
        <v/>
      </c>
    </row>
    <row r="14" spans="1:20" ht="14.95" thickBot="1" x14ac:dyDescent="0.3">
      <c r="A14" s="17"/>
      <c r="B14" s="17"/>
      <c r="C14" s="17"/>
      <c r="D14" s="17"/>
      <c r="E14" s="17"/>
      <c r="F14" s="17"/>
      <c r="G14" s="17"/>
      <c r="H14" s="17"/>
      <c r="I14" s="17"/>
      <c r="J14" s="17"/>
      <c r="K14" s="17"/>
      <c r="L14" s="17"/>
      <c r="M14" s="17"/>
      <c r="N14" s="17"/>
      <c r="O14" s="17"/>
      <c r="P14" s="17"/>
      <c r="Q14" t="str">
        <v/>
      </c>
    </row>
    <row r="15" spans="1:20" ht="15.65" thickTop="1" thickBot="1" x14ac:dyDescent="0.3">
      <c r="A15" s="17"/>
      <c r="B15" s="17"/>
      <c r="C15" s="17"/>
      <c r="D15" s="17"/>
      <c r="E15" s="17"/>
      <c r="F15" s="17"/>
      <c r="G15" s="17"/>
      <c r="H15" s="17"/>
      <c r="I15" s="17"/>
      <c r="J15" s="20" t="s">
        <v>2</v>
      </c>
      <c r="K15" s="32">
        <v>0.3</v>
      </c>
      <c r="L15" s="22" t="s">
        <v>6</v>
      </c>
      <c r="M15" s="19"/>
      <c r="N15" s="23"/>
      <c r="O15" s="23"/>
      <c r="P15" s="17"/>
      <c r="Q15" t="str">
        <v/>
      </c>
    </row>
    <row r="16" spans="1:20" ht="19.05" thickTop="1" thickBot="1" x14ac:dyDescent="0.4">
      <c r="A16" s="17"/>
      <c r="B16" s="17"/>
      <c r="C16" s="17"/>
      <c r="D16" s="17"/>
      <c r="E16" s="20" t="s">
        <v>13</v>
      </c>
      <c r="F16" s="32">
        <v>17.53</v>
      </c>
      <c r="G16" s="20" t="s">
        <v>12</v>
      </c>
      <c r="H16" s="18"/>
      <c r="I16" s="17"/>
      <c r="J16" s="17"/>
      <c r="K16" s="17"/>
      <c r="L16" s="19"/>
      <c r="M16" s="24" t="str">
        <f>IF(O10&lt;0, "Downward Flow", "")</f>
        <v/>
      </c>
      <c r="N16" s="25"/>
      <c r="O16" s="25"/>
      <c r="P16" s="17"/>
      <c r="Q16" t="str">
        <v/>
      </c>
    </row>
    <row r="17" spans="1:17" ht="14.95" thickTop="1" x14ac:dyDescent="0.25">
      <c r="A17" s="17"/>
      <c r="B17" s="17"/>
      <c r="C17" s="17"/>
      <c r="D17" s="17"/>
      <c r="E17" s="17"/>
      <c r="F17" s="17"/>
      <c r="G17" s="17"/>
      <c r="H17" s="17"/>
      <c r="I17" s="17"/>
      <c r="J17" s="17"/>
      <c r="K17" s="17"/>
      <c r="L17" s="17"/>
      <c r="M17" s="17"/>
      <c r="N17" s="17"/>
      <c r="O17" s="17"/>
      <c r="P17" s="17"/>
      <c r="Q17" t="str">
        <v/>
      </c>
    </row>
    <row r="18" spans="1:17" x14ac:dyDescent="0.25">
      <c r="A18" s="17"/>
      <c r="B18" s="17"/>
      <c r="C18" s="17"/>
      <c r="D18" s="17"/>
      <c r="E18" s="17"/>
      <c r="F18" s="17"/>
      <c r="G18" s="17"/>
      <c r="H18" s="17"/>
      <c r="I18" s="17"/>
      <c r="J18" s="17"/>
      <c r="K18" s="17"/>
      <c r="L18" s="17"/>
      <c r="M18" s="17"/>
      <c r="N18" s="17"/>
      <c r="O18" s="17"/>
      <c r="P18" s="17"/>
      <c r="Q18" t="str">
        <v/>
      </c>
    </row>
    <row r="19" spans="1:17" x14ac:dyDescent="0.25">
      <c r="A19" s="17"/>
      <c r="B19" s="17"/>
      <c r="C19" s="17"/>
      <c r="D19" s="17"/>
      <c r="E19" s="17"/>
      <c r="F19" s="17"/>
      <c r="G19" s="17"/>
      <c r="H19" s="17"/>
      <c r="I19" s="17"/>
      <c r="J19" s="17"/>
      <c r="K19" s="17"/>
      <c r="L19" s="17"/>
      <c r="M19" s="17"/>
      <c r="N19" s="17"/>
      <c r="O19" s="17"/>
      <c r="P19" s="17"/>
      <c r="Q19" t="str">
        <v/>
      </c>
    </row>
    <row r="20" spans="1:17" ht="14.95" thickBot="1" x14ac:dyDescent="0.3">
      <c r="A20" s="17"/>
      <c r="B20" s="17"/>
      <c r="C20" s="17"/>
      <c r="D20" s="17"/>
      <c r="E20" s="17"/>
      <c r="F20" s="17"/>
      <c r="G20" s="17"/>
      <c r="H20" s="17"/>
      <c r="I20" s="17"/>
      <c r="J20" s="17"/>
      <c r="K20" s="17"/>
      <c r="L20" s="17"/>
      <c r="M20" s="17"/>
      <c r="N20" s="17"/>
      <c r="O20" s="17"/>
      <c r="P20" s="17"/>
      <c r="Q20" t="str">
        <v/>
      </c>
    </row>
    <row r="21" spans="1:17" ht="15.65" thickTop="1" thickBot="1" x14ac:dyDescent="0.3">
      <c r="A21" s="17"/>
      <c r="B21" s="17"/>
      <c r="C21" s="17"/>
      <c r="D21" s="17"/>
      <c r="E21" s="17"/>
      <c r="F21" s="17"/>
      <c r="G21" s="17"/>
      <c r="H21" s="17"/>
      <c r="I21" s="20" t="s">
        <v>5</v>
      </c>
      <c r="J21" s="32">
        <v>0.7</v>
      </c>
      <c r="K21" s="22" t="s">
        <v>6</v>
      </c>
      <c r="L21" s="17"/>
      <c r="M21" s="17"/>
      <c r="N21" s="17"/>
      <c r="O21" s="17"/>
      <c r="P21" s="17"/>
      <c r="Q21" t="str">
        <v/>
      </c>
    </row>
    <row r="22" spans="1:17" ht="19.05" thickTop="1" thickBot="1" x14ac:dyDescent="0.4">
      <c r="A22" s="17"/>
      <c r="B22" s="17"/>
      <c r="C22" s="17"/>
      <c r="D22" s="17"/>
      <c r="E22" s="20" t="s">
        <v>14</v>
      </c>
      <c r="F22" s="32">
        <v>16.21</v>
      </c>
      <c r="G22" s="20" t="s">
        <v>12</v>
      </c>
      <c r="H22" s="18"/>
      <c r="I22" s="17"/>
      <c r="J22" s="17"/>
      <c r="K22" s="17"/>
      <c r="L22" s="17"/>
      <c r="M22" s="17"/>
      <c r="N22" s="17"/>
      <c r="O22" s="17"/>
      <c r="P22" s="17"/>
      <c r="Q22" t="str">
        <v/>
      </c>
    </row>
    <row r="23" spans="1:17" ht="14.95" thickTop="1" x14ac:dyDescent="0.25">
      <c r="A23" s="17"/>
      <c r="B23" s="17"/>
      <c r="C23" s="17"/>
      <c r="D23" s="17"/>
      <c r="E23" s="17"/>
      <c r="F23" s="17"/>
      <c r="G23" s="17"/>
      <c r="H23" s="17"/>
      <c r="I23" s="17"/>
      <c r="J23" s="17"/>
      <c r="K23" s="17"/>
      <c r="L23" s="17"/>
      <c r="M23" s="17"/>
      <c r="N23" s="17"/>
      <c r="O23" s="17"/>
      <c r="P23" s="17"/>
      <c r="Q23" t="str">
        <v/>
      </c>
    </row>
    <row r="24" spans="1:17" x14ac:dyDescent="0.25">
      <c r="A24" s="17"/>
      <c r="B24" s="17"/>
      <c r="C24" s="17"/>
      <c r="D24" s="17"/>
      <c r="E24" s="17"/>
      <c r="F24" s="17"/>
      <c r="G24" s="17"/>
      <c r="H24" s="17"/>
      <c r="I24" s="17"/>
      <c r="J24" s="17"/>
      <c r="K24" s="17"/>
      <c r="L24" s="17"/>
      <c r="M24" s="17"/>
      <c r="N24" s="17"/>
      <c r="O24" s="17"/>
      <c r="P24" s="17"/>
      <c r="Q24" t="str">
        <v/>
      </c>
    </row>
    <row r="25" spans="1:17" x14ac:dyDescent="0.25">
      <c r="A25" s="17"/>
      <c r="B25" s="17"/>
      <c r="C25" s="17"/>
      <c r="D25" s="17"/>
      <c r="E25" s="17"/>
      <c r="F25" s="17"/>
      <c r="G25" s="17"/>
      <c r="H25" s="17"/>
      <c r="I25" s="17"/>
      <c r="J25" s="17"/>
      <c r="K25" s="17"/>
      <c r="L25" s="17"/>
      <c r="M25" s="17"/>
      <c r="N25" s="17"/>
      <c r="O25" s="17"/>
      <c r="P25" s="17"/>
      <c r="Q25" t="str">
        <v/>
      </c>
    </row>
    <row r="26" spans="1:17" x14ac:dyDescent="0.25">
      <c r="A26" s="17"/>
      <c r="B26" s="17"/>
      <c r="C26" s="17"/>
      <c r="D26" s="17"/>
      <c r="E26" s="17"/>
      <c r="F26" s="17"/>
      <c r="G26" s="17"/>
      <c r="H26" s="17"/>
      <c r="I26" s="17"/>
      <c r="J26" s="17"/>
      <c r="K26" s="17"/>
      <c r="L26" s="17"/>
      <c r="M26" s="17"/>
      <c r="N26" s="17"/>
      <c r="O26" s="17"/>
      <c r="P26" s="17"/>
      <c r="Q26" t="str">
        <v/>
      </c>
    </row>
    <row r="27" spans="1:17" x14ac:dyDescent="0.25">
      <c r="A27" s="17"/>
      <c r="B27" s="26" t="s">
        <v>3</v>
      </c>
      <c r="C27" s="27">
        <v>-1.7566662326819644</v>
      </c>
      <c r="D27" s="17"/>
      <c r="E27" s="17"/>
      <c r="F27" s="17"/>
      <c r="G27" s="17"/>
      <c r="H27" s="17"/>
      <c r="I27" s="17"/>
      <c r="J27" s="17"/>
      <c r="K27" s="17"/>
      <c r="L27" s="17"/>
      <c r="M27" s="17"/>
      <c r="N27" s="17"/>
      <c r="O27" s="17"/>
      <c r="P27" s="17"/>
      <c r="Q27" t="str">
        <v/>
      </c>
    </row>
    <row r="28" spans="1:17" x14ac:dyDescent="0.25">
      <c r="A28" s="17"/>
      <c r="B28" s="28" t="s">
        <v>4</v>
      </c>
      <c r="C28" s="29">
        <f>((F16-F11)/(F22-F11)-((EXP(C27*(K15/J21))-1)/(EXP(C27)-1)))</f>
        <v>1.1087585294333735E-9</v>
      </c>
      <c r="D28" s="17"/>
      <c r="E28" s="17"/>
      <c r="F28" s="17"/>
      <c r="G28" s="17"/>
      <c r="H28" s="17"/>
      <c r="I28" s="17"/>
      <c r="J28" s="17"/>
      <c r="K28" s="17"/>
      <c r="L28" s="17"/>
      <c r="M28" s="17"/>
      <c r="N28" s="17"/>
      <c r="O28" s="17"/>
      <c r="P28" s="17"/>
      <c r="Q28" t="str">
        <v/>
      </c>
    </row>
    <row r="29" spans="1:17" x14ac:dyDescent="0.25">
      <c r="A29" s="19" t="str">
        <f t="array" ref="A29:P29">""</f>
        <v/>
      </c>
      <c r="B29" s="19" t="str">
        <v/>
      </c>
      <c r="C29" s="19" t="str">
        <v/>
      </c>
      <c r="D29" s="19" t="str">
        <v/>
      </c>
      <c r="E29" s="19" t="str">
        <v/>
      </c>
      <c r="F29" s="19" t="str">
        <v/>
      </c>
      <c r="G29" s="19" t="str">
        <v/>
      </c>
      <c r="H29" s="19" t="str">
        <v/>
      </c>
      <c r="I29" s="19" t="str">
        <v/>
      </c>
      <c r="J29" s="19" t="str">
        <v/>
      </c>
      <c r="K29" s="19" t="str">
        <v/>
      </c>
      <c r="L29" s="19" t="str">
        <v/>
      </c>
      <c r="M29" s="19" t="str">
        <v/>
      </c>
      <c r="N29" s="19" t="str">
        <v/>
      </c>
      <c r="O29" s="19" t="str">
        <v/>
      </c>
      <c r="P29" s="19" t="str">
        <v/>
      </c>
      <c r="Q29" t="str">
        <v/>
      </c>
    </row>
    <row r="30" spans="1:17" x14ac:dyDescent="0.25">
      <c r="A30" t="str">
        <f t="array" ref="A30:Q30">""</f>
        <v/>
      </c>
      <c r="B30" t="str">
        <v/>
      </c>
      <c r="C30" t="str">
        <v/>
      </c>
      <c r="D30" t="str">
        <v/>
      </c>
      <c r="E30" t="str">
        <v/>
      </c>
      <c r="F30" t="str">
        <v/>
      </c>
      <c r="G30" t="str">
        <v/>
      </c>
      <c r="H30" t="str">
        <v/>
      </c>
      <c r="I30" t="str">
        <v/>
      </c>
      <c r="J30" t="str">
        <v/>
      </c>
      <c r="K30" t="str">
        <v/>
      </c>
      <c r="L30" t="str">
        <v/>
      </c>
      <c r="M30" t="str">
        <v/>
      </c>
      <c r="N30" t="str">
        <v/>
      </c>
      <c r="O30" t="str">
        <v/>
      </c>
      <c r="P30" t="str">
        <v/>
      </c>
      <c r="Q30" t="str">
        <v/>
      </c>
    </row>
  </sheetData>
  <dataValidations count="1">
    <dataValidation type="decimal" operator="greaterThan" showInputMessage="1" showErrorMessage="1" error="This cell must contain a positive number." sqref="C3 C5 F11 F16 F22 K15 J21">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redehoeftSS">
                <anchor moveWithCells="1">
                  <from>
                    <xdr:col>13</xdr:col>
                    <xdr:colOff>293298</xdr:colOff>
                    <xdr:row>1</xdr:row>
                    <xdr:rowOff>34506</xdr:rowOff>
                  </from>
                  <to>
                    <xdr:col>15</xdr:col>
                    <xdr:colOff>8626</xdr:colOff>
                    <xdr:row>3</xdr:row>
                    <xdr:rowOff>94891</xdr:rowOff>
                  </to>
                </anchor>
              </controlPr>
            </control>
          </mc:Choice>
        </mc:AlternateContent>
        <mc:AlternateContent xmlns:mc="http://schemas.openxmlformats.org/markup-compatibility/2006">
          <mc:Choice Requires="x14">
            <control shapeId="2054" r:id="rId5" name="Button 6">
              <controlPr defaultSize="0" print="0" autoFill="0" autoPict="0" macro="[0]!ClearInputData">
                <anchor moveWithCells="1" sizeWithCells="1">
                  <from>
                    <xdr:col>14</xdr:col>
                    <xdr:colOff>267419</xdr:colOff>
                    <xdr:row>4</xdr:row>
                    <xdr:rowOff>0</xdr:rowOff>
                  </from>
                  <to>
                    <xdr:col>15</xdr:col>
                    <xdr:colOff>0</xdr:colOff>
                    <xdr:row>5</xdr:row>
                    <xdr:rowOff>155275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4" tint="0.59999389629810485"/>
  </sheetPr>
  <dimension ref="A1:Q30"/>
  <sheetViews>
    <sheetView showGridLines="0" showRowColHeaders="0" workbookViewId="0">
      <selection activeCell="O10" sqref="O10"/>
    </sheetView>
  </sheetViews>
  <sheetFormatPr defaultColWidth="8.75" defaultRowHeight="14.3" x14ac:dyDescent="0.25"/>
  <cols>
    <col min="3" max="3" width="10" customWidth="1"/>
    <col min="4" max="4" width="13.375" customWidth="1"/>
    <col min="5" max="5" width="7.25" customWidth="1"/>
    <col min="7" max="7" width="4.75" customWidth="1"/>
    <col min="15" max="15" width="16.5" customWidth="1"/>
  </cols>
  <sheetData>
    <row r="1" spans="1:17" x14ac:dyDescent="0.25">
      <c r="A1" s="11"/>
      <c r="B1" s="11"/>
      <c r="C1" s="11"/>
      <c r="D1" s="11"/>
      <c r="E1" s="11"/>
      <c r="F1" s="11"/>
      <c r="G1" s="11"/>
      <c r="H1" s="11"/>
      <c r="I1" s="11"/>
      <c r="J1" s="11"/>
      <c r="K1" s="11"/>
      <c r="L1" s="11"/>
      <c r="M1" s="11"/>
      <c r="N1" s="11"/>
      <c r="O1" s="11"/>
      <c r="P1" s="11"/>
      <c r="Q1" t="str">
        <f t="array" ref="Q1:Q30">""</f>
        <v/>
      </c>
    </row>
    <row r="2" spans="1:17" ht="14.95" thickBot="1" x14ac:dyDescent="0.3">
      <c r="A2" s="11"/>
      <c r="B2" s="34"/>
      <c r="C2" s="34"/>
      <c r="D2" s="34"/>
      <c r="E2" s="11"/>
      <c r="F2" s="11"/>
      <c r="G2" s="11"/>
      <c r="H2" s="11"/>
      <c r="I2" s="11"/>
      <c r="J2" s="11"/>
      <c r="K2" s="11"/>
      <c r="L2" s="11"/>
      <c r="M2" s="11"/>
      <c r="N2" s="11"/>
      <c r="O2" s="11"/>
      <c r="P2" s="11"/>
      <c r="Q2" t="str">
        <v/>
      </c>
    </row>
    <row r="3" spans="1:17" ht="15.65" thickTop="1" thickBot="1" x14ac:dyDescent="0.3">
      <c r="A3" s="11"/>
      <c r="B3" s="35" t="s">
        <v>16</v>
      </c>
      <c r="C3" s="62">
        <v>0.7</v>
      </c>
      <c r="D3" s="36" t="s">
        <v>8</v>
      </c>
      <c r="E3" s="11"/>
      <c r="F3" s="11"/>
      <c r="G3" s="11"/>
      <c r="H3" s="11"/>
      <c r="I3" s="11"/>
      <c r="J3" s="11"/>
      <c r="K3" s="11"/>
      <c r="L3" s="11"/>
      <c r="M3" s="11"/>
      <c r="N3" s="11"/>
      <c r="O3" s="11"/>
      <c r="P3" s="11"/>
      <c r="Q3" t="str">
        <v/>
      </c>
    </row>
    <row r="4" spans="1:17" ht="15.65" thickTop="1" thickBot="1" x14ac:dyDescent="0.3">
      <c r="A4" s="11"/>
      <c r="B4" s="37"/>
      <c r="C4" s="38"/>
      <c r="D4" s="37"/>
      <c r="E4" s="11"/>
      <c r="F4" s="11"/>
      <c r="G4" s="11"/>
      <c r="H4" s="11"/>
      <c r="I4" s="11"/>
      <c r="J4" s="11"/>
      <c r="K4" s="11"/>
      <c r="L4" s="11"/>
      <c r="M4" s="11"/>
      <c r="N4" s="11"/>
      <c r="O4" s="11"/>
      <c r="P4" s="11"/>
      <c r="Q4" t="str">
        <v/>
      </c>
    </row>
    <row r="5" spans="1:17" ht="17" thickTop="1" thickBot="1" x14ac:dyDescent="0.35">
      <c r="A5" s="11"/>
      <c r="B5" s="36" t="s">
        <v>15</v>
      </c>
      <c r="C5" s="63">
        <v>4190000</v>
      </c>
      <c r="D5" s="36" t="s">
        <v>9</v>
      </c>
      <c r="E5" s="11"/>
      <c r="F5" s="11"/>
      <c r="G5" s="11"/>
      <c r="H5" s="11"/>
      <c r="I5" s="11"/>
      <c r="J5" s="11"/>
      <c r="K5" s="11"/>
      <c r="L5" s="11"/>
      <c r="M5" s="11"/>
      <c r="N5" s="11"/>
      <c r="O5" s="11"/>
      <c r="P5" s="11"/>
      <c r="Q5" t="str">
        <v/>
      </c>
    </row>
    <row r="6" spans="1:17" ht="14.95" thickTop="1" x14ac:dyDescent="0.25">
      <c r="A6" s="11"/>
      <c r="B6" s="37"/>
      <c r="C6" s="39"/>
      <c r="D6" s="37"/>
      <c r="E6" s="11"/>
      <c r="F6" s="11"/>
      <c r="G6" s="11"/>
      <c r="H6" s="11"/>
      <c r="I6" s="11"/>
      <c r="J6" s="11"/>
      <c r="K6" s="11"/>
      <c r="L6" s="11"/>
      <c r="M6" s="11"/>
      <c r="N6" s="11"/>
      <c r="O6" s="11"/>
      <c r="P6" s="11"/>
      <c r="Q6" t="str">
        <v/>
      </c>
    </row>
    <row r="7" spans="1:17" x14ac:dyDescent="0.25">
      <c r="A7" s="11"/>
      <c r="B7" s="37"/>
      <c r="C7" s="11"/>
      <c r="D7" s="11"/>
      <c r="E7" s="11"/>
      <c r="F7" s="11"/>
      <c r="G7" s="11"/>
      <c r="H7" s="11"/>
      <c r="I7" s="11"/>
      <c r="J7" s="11"/>
      <c r="K7" s="11"/>
      <c r="L7" s="11"/>
      <c r="M7" s="11"/>
      <c r="N7" s="11"/>
      <c r="O7" s="11"/>
      <c r="P7" s="11"/>
      <c r="Q7" t="str">
        <v/>
      </c>
    </row>
    <row r="8" spans="1:17" x14ac:dyDescent="0.25">
      <c r="A8" s="11"/>
      <c r="B8" s="11"/>
      <c r="C8" s="11"/>
      <c r="D8" s="11"/>
      <c r="E8" s="40"/>
      <c r="F8" s="11"/>
      <c r="G8" s="11"/>
      <c r="H8" s="11"/>
      <c r="I8" s="11"/>
      <c r="J8" s="11"/>
      <c r="K8" s="11"/>
      <c r="L8" s="11"/>
      <c r="M8" s="41" t="str">
        <f>IF(O10&gt;0, "Upward Flow","")</f>
        <v>Upward Flow</v>
      </c>
      <c r="N8" s="11"/>
      <c r="O8" s="11"/>
      <c r="P8" s="11"/>
      <c r="Q8" t="str">
        <v/>
      </c>
    </row>
    <row r="9" spans="1:17" ht="14.95" thickBot="1" x14ac:dyDescent="0.3">
      <c r="A9" s="11"/>
      <c r="B9" s="11"/>
      <c r="C9" s="11"/>
      <c r="D9" s="11"/>
      <c r="E9" s="11"/>
      <c r="F9" s="11"/>
      <c r="G9" s="11"/>
      <c r="H9" s="11"/>
      <c r="I9" s="11"/>
      <c r="J9" s="11"/>
      <c r="K9" s="11"/>
      <c r="L9" s="11"/>
      <c r="M9" s="11"/>
      <c r="N9" s="40"/>
      <c r="O9" s="11"/>
      <c r="P9" s="11"/>
      <c r="Q9" t="str">
        <v/>
      </c>
    </row>
    <row r="10" spans="1:17" ht="18.350000000000001" thickTop="1" thickBot="1" x14ac:dyDescent="0.4">
      <c r="A10" s="11"/>
      <c r="B10" s="11"/>
      <c r="C10" s="11"/>
      <c r="D10" s="11"/>
      <c r="E10" s="11"/>
      <c r="F10" s="11"/>
      <c r="G10" s="11"/>
      <c r="H10" s="34"/>
      <c r="I10" s="40"/>
      <c r="J10" s="11"/>
      <c r="K10" s="11"/>
      <c r="L10" s="11"/>
      <c r="M10" s="11"/>
      <c r="N10" s="42" t="s">
        <v>10</v>
      </c>
      <c r="O10" s="66">
        <v>4.4106592102021433E-2</v>
      </c>
      <c r="P10" s="42" t="s">
        <v>7</v>
      </c>
      <c r="Q10" t="str">
        <v/>
      </c>
    </row>
    <row r="11" spans="1:17" ht="19.05" thickTop="1" thickBot="1" x14ac:dyDescent="0.4">
      <c r="A11" s="11"/>
      <c r="B11" s="43" t="s">
        <v>0</v>
      </c>
      <c r="C11" s="11"/>
      <c r="D11" s="11"/>
      <c r="E11" s="44" t="s">
        <v>20</v>
      </c>
      <c r="F11" s="64">
        <v>25.36</v>
      </c>
      <c r="G11" s="42" t="s">
        <v>12</v>
      </c>
      <c r="H11" s="11"/>
      <c r="I11" s="11"/>
      <c r="J11" s="11"/>
      <c r="K11" s="11"/>
      <c r="L11" s="11"/>
      <c r="M11" s="11"/>
      <c r="N11" s="45"/>
      <c r="O11" s="46"/>
      <c r="P11" s="42"/>
      <c r="Q11" t="str">
        <v/>
      </c>
    </row>
    <row r="12" spans="1:17" ht="14.95" thickTop="1" x14ac:dyDescent="0.25">
      <c r="A12" s="19"/>
      <c r="B12" s="47" t="s">
        <v>1</v>
      </c>
      <c r="C12" s="19"/>
      <c r="D12" s="19"/>
      <c r="E12" s="19"/>
      <c r="F12" s="19"/>
      <c r="G12" s="19"/>
      <c r="H12" s="19"/>
      <c r="I12" s="19"/>
      <c r="J12" s="19"/>
      <c r="K12" s="19"/>
      <c r="L12" s="19"/>
      <c r="M12" s="19"/>
      <c r="N12" s="19"/>
      <c r="O12" s="19"/>
      <c r="P12" s="19"/>
      <c r="Q12" t="str">
        <v/>
      </c>
    </row>
    <row r="13" spans="1:17" x14ac:dyDescent="0.25">
      <c r="A13" s="19"/>
      <c r="B13" s="19"/>
      <c r="C13" s="19"/>
      <c r="D13" s="19"/>
      <c r="E13" s="19"/>
      <c r="F13" s="19"/>
      <c r="G13" s="19"/>
      <c r="H13" s="19"/>
      <c r="I13" s="19"/>
      <c r="J13" s="19"/>
      <c r="K13" s="19"/>
      <c r="L13" s="19"/>
      <c r="M13" s="19"/>
      <c r="N13" s="19"/>
      <c r="O13" s="19"/>
      <c r="P13" s="19"/>
      <c r="Q13" t="str">
        <v/>
      </c>
    </row>
    <row r="14" spans="1:17" ht="14.95" thickBot="1" x14ac:dyDescent="0.3">
      <c r="A14" s="19"/>
      <c r="B14" s="19"/>
      <c r="C14" s="19"/>
      <c r="D14" s="19"/>
      <c r="E14" s="19"/>
      <c r="F14" s="19"/>
      <c r="G14" s="19"/>
      <c r="H14" s="19"/>
      <c r="I14" s="19"/>
      <c r="J14" s="19"/>
      <c r="K14" s="19"/>
      <c r="L14" s="19"/>
      <c r="M14" s="19"/>
      <c r="N14" s="19"/>
      <c r="O14" s="19"/>
      <c r="P14" s="19"/>
      <c r="Q14" t="str">
        <v/>
      </c>
    </row>
    <row r="15" spans="1:17" ht="15.65" thickTop="1" thickBot="1" x14ac:dyDescent="0.3">
      <c r="A15" s="19"/>
      <c r="B15" s="19"/>
      <c r="C15" s="19"/>
      <c r="D15" s="19"/>
      <c r="E15" s="19"/>
      <c r="F15" s="19"/>
      <c r="G15" s="19"/>
      <c r="H15" s="19"/>
      <c r="I15" s="19"/>
      <c r="J15" s="48" t="s">
        <v>2</v>
      </c>
      <c r="K15" s="65">
        <v>0.45</v>
      </c>
      <c r="L15" s="49" t="s">
        <v>6</v>
      </c>
      <c r="M15" s="50"/>
      <c r="N15" s="51"/>
      <c r="O15" s="51"/>
      <c r="P15" s="19"/>
      <c r="Q15" t="str">
        <v/>
      </c>
    </row>
    <row r="16" spans="1:17" ht="19.05" thickTop="1" thickBot="1" x14ac:dyDescent="0.4">
      <c r="A16" s="19"/>
      <c r="B16" s="19"/>
      <c r="C16" s="19"/>
      <c r="D16" s="19"/>
      <c r="E16" s="52" t="s">
        <v>19</v>
      </c>
      <c r="F16" s="64">
        <v>16.11</v>
      </c>
      <c r="G16" s="48" t="s">
        <v>12</v>
      </c>
      <c r="H16" s="53"/>
      <c r="I16" s="19"/>
      <c r="J16" s="19"/>
      <c r="K16" s="19"/>
      <c r="L16" s="19"/>
      <c r="M16" s="54"/>
      <c r="N16" s="54"/>
      <c r="O16" s="54"/>
      <c r="P16" s="19"/>
      <c r="Q16" t="str">
        <v/>
      </c>
    </row>
    <row r="17" spans="1:17" ht="14.95" thickTop="1" x14ac:dyDescent="0.25">
      <c r="A17" s="19"/>
      <c r="B17" s="19"/>
      <c r="C17" s="19"/>
      <c r="D17" s="19"/>
      <c r="E17" s="19"/>
      <c r="F17" s="19"/>
      <c r="G17" s="19"/>
      <c r="H17" s="19"/>
      <c r="I17" s="19"/>
      <c r="J17" s="19"/>
      <c r="K17" s="19"/>
      <c r="L17" s="19"/>
      <c r="M17" s="19"/>
      <c r="N17" s="19"/>
      <c r="O17" s="19"/>
      <c r="P17" s="19"/>
      <c r="Q17" t="str">
        <v/>
      </c>
    </row>
    <row r="18" spans="1:17" x14ac:dyDescent="0.25">
      <c r="A18" s="19"/>
      <c r="B18" s="19"/>
      <c r="C18" s="19"/>
      <c r="D18" s="19"/>
      <c r="E18" s="19"/>
      <c r="F18" s="19"/>
      <c r="G18" s="19"/>
      <c r="H18" s="19"/>
      <c r="I18" s="19"/>
      <c r="J18" s="19"/>
      <c r="K18" s="19"/>
      <c r="L18" s="19"/>
      <c r="M18" s="19"/>
      <c r="N18" s="19"/>
      <c r="O18" s="19"/>
      <c r="P18" s="19"/>
      <c r="Q18" t="str">
        <v/>
      </c>
    </row>
    <row r="19" spans="1:17" x14ac:dyDescent="0.25">
      <c r="A19" s="19"/>
      <c r="B19" s="19"/>
      <c r="C19" s="19"/>
      <c r="D19" s="19"/>
      <c r="E19" s="19"/>
      <c r="F19" s="19"/>
      <c r="G19" s="19"/>
      <c r="H19" s="19"/>
      <c r="I19" s="19"/>
      <c r="J19" s="19"/>
      <c r="K19" s="19"/>
      <c r="L19" s="19"/>
      <c r="M19" s="19"/>
      <c r="N19" s="19"/>
      <c r="O19" s="19"/>
      <c r="P19" s="19"/>
      <c r="Q19" t="str">
        <v/>
      </c>
    </row>
    <row r="20" spans="1:17" x14ac:dyDescent="0.25">
      <c r="A20" s="19"/>
      <c r="B20" s="19"/>
      <c r="C20" s="19"/>
      <c r="D20" s="19"/>
      <c r="E20" s="19"/>
      <c r="F20" s="19"/>
      <c r="G20" s="19"/>
      <c r="H20" s="19"/>
      <c r="I20" s="19"/>
      <c r="J20" s="19"/>
      <c r="K20" s="19"/>
      <c r="L20" s="19"/>
      <c r="M20" s="19"/>
      <c r="N20" s="19"/>
      <c r="O20" s="19"/>
      <c r="P20" s="19"/>
      <c r="Q20" t="str">
        <v/>
      </c>
    </row>
    <row r="21" spans="1:17" x14ac:dyDescent="0.25">
      <c r="A21" s="19"/>
      <c r="B21" s="19"/>
      <c r="C21" s="19"/>
      <c r="D21" s="19"/>
      <c r="E21" s="19"/>
      <c r="F21" s="19"/>
      <c r="G21" s="19"/>
      <c r="H21" s="19"/>
      <c r="I21" s="55"/>
      <c r="J21" s="56"/>
      <c r="K21" s="57"/>
      <c r="L21" s="19"/>
      <c r="M21" s="19"/>
      <c r="N21" s="19"/>
      <c r="O21" s="19"/>
      <c r="P21" s="19"/>
      <c r="Q21" t="str">
        <v/>
      </c>
    </row>
    <row r="22" spans="1:17" x14ac:dyDescent="0.25">
      <c r="A22" s="19"/>
      <c r="B22" s="19"/>
      <c r="C22" s="19"/>
      <c r="D22" s="19"/>
      <c r="E22" s="19"/>
      <c r="F22" s="19"/>
      <c r="G22" s="19"/>
      <c r="H22" s="53"/>
      <c r="I22" s="19"/>
      <c r="J22" s="19"/>
      <c r="K22" s="19"/>
      <c r="L22" s="19"/>
      <c r="M22" s="19"/>
      <c r="N22" s="19"/>
      <c r="O22" s="19"/>
      <c r="P22" s="19"/>
      <c r="Q22" t="str">
        <v/>
      </c>
    </row>
    <row r="23" spans="1:17" x14ac:dyDescent="0.25">
      <c r="A23" s="19"/>
      <c r="B23" s="19"/>
      <c r="C23" s="19"/>
      <c r="D23" s="19"/>
      <c r="E23" s="19"/>
      <c r="F23" s="19"/>
      <c r="G23" s="19"/>
      <c r="H23" s="19"/>
      <c r="I23" s="19"/>
      <c r="J23" s="19"/>
      <c r="K23" s="19"/>
      <c r="L23" s="19"/>
      <c r="M23" s="19"/>
      <c r="N23" s="19"/>
      <c r="O23" s="19"/>
      <c r="P23" s="19"/>
      <c r="Q23" t="str">
        <v/>
      </c>
    </row>
    <row r="24" spans="1:17" x14ac:dyDescent="0.25">
      <c r="A24" s="19"/>
      <c r="B24" s="19"/>
      <c r="C24" s="19"/>
      <c r="D24" s="19"/>
      <c r="E24" s="19"/>
      <c r="F24" s="19"/>
      <c r="G24" s="19"/>
      <c r="H24" s="19"/>
      <c r="I24" s="19"/>
      <c r="J24" s="19"/>
      <c r="K24" s="19"/>
      <c r="L24" s="19"/>
      <c r="M24" s="19"/>
      <c r="N24" s="19"/>
      <c r="O24" s="19"/>
      <c r="P24" s="19"/>
      <c r="Q24" t="str">
        <v/>
      </c>
    </row>
    <row r="25" spans="1:17" x14ac:dyDescent="0.25">
      <c r="A25" s="19"/>
      <c r="B25" s="19"/>
      <c r="C25" s="19"/>
      <c r="D25" s="19"/>
      <c r="E25" s="19"/>
      <c r="F25" s="19"/>
      <c r="G25" s="19"/>
      <c r="H25" s="19"/>
      <c r="I25" s="19"/>
      <c r="J25" s="19"/>
      <c r="K25" s="19"/>
      <c r="L25" s="19"/>
      <c r="M25" s="19"/>
      <c r="N25" s="19"/>
      <c r="O25" s="19"/>
      <c r="P25" s="19"/>
      <c r="Q25" t="str">
        <v/>
      </c>
    </row>
    <row r="26" spans="1:17" x14ac:dyDescent="0.25">
      <c r="A26" s="19"/>
      <c r="B26" s="19"/>
      <c r="C26" s="19"/>
      <c r="D26" s="19"/>
      <c r="E26" s="19"/>
      <c r="F26" s="19"/>
      <c r="G26" s="19"/>
      <c r="H26" s="19"/>
      <c r="I26" s="19"/>
      <c r="J26" s="19"/>
      <c r="K26" s="19"/>
      <c r="L26" s="19"/>
      <c r="M26" s="19"/>
      <c r="N26" s="19"/>
      <c r="O26" s="19"/>
      <c r="P26" s="19"/>
      <c r="Q26" t="str">
        <v/>
      </c>
    </row>
    <row r="27" spans="1:17" ht="14.95" thickBot="1" x14ac:dyDescent="0.3">
      <c r="A27" s="19"/>
      <c r="B27" s="58"/>
      <c r="C27" s="59"/>
      <c r="D27" s="19"/>
      <c r="E27" s="19"/>
      <c r="F27" s="19"/>
      <c r="G27" s="19"/>
      <c r="H27" s="19"/>
      <c r="I27" s="19"/>
      <c r="J27" s="19"/>
      <c r="K27" s="19"/>
      <c r="L27" s="19"/>
      <c r="M27" s="19"/>
      <c r="N27" s="19"/>
      <c r="O27" s="19"/>
      <c r="P27" s="19"/>
      <c r="Q27" t="str">
        <v/>
      </c>
    </row>
    <row r="28" spans="1:17" ht="20.399999999999999" thickTop="1" thickBot="1" x14ac:dyDescent="0.4">
      <c r="A28" s="19"/>
      <c r="B28" s="60" t="s">
        <v>17</v>
      </c>
      <c r="C28" s="61"/>
      <c r="D28" s="19"/>
      <c r="E28" s="52" t="s">
        <v>18</v>
      </c>
      <c r="F28" s="64">
        <v>12.98</v>
      </c>
      <c r="G28" s="52" t="s">
        <v>21</v>
      </c>
      <c r="H28" s="60"/>
      <c r="I28" s="19"/>
      <c r="J28" s="19"/>
      <c r="K28" s="19"/>
      <c r="L28" s="19"/>
      <c r="M28" s="19"/>
      <c r="N28" s="19"/>
      <c r="O28" s="19"/>
      <c r="P28" s="19"/>
      <c r="Q28" t="str">
        <v/>
      </c>
    </row>
    <row r="29" spans="1:17" ht="14.95" thickTop="1" x14ac:dyDescent="0.25">
      <c r="A29" s="19"/>
      <c r="B29" s="19"/>
      <c r="C29" s="19"/>
      <c r="D29" s="19"/>
      <c r="E29" s="19"/>
      <c r="F29" s="19"/>
      <c r="G29" s="19"/>
      <c r="H29" s="19"/>
      <c r="I29" s="19"/>
      <c r="J29" s="19"/>
      <c r="K29" s="19"/>
      <c r="L29" s="19"/>
      <c r="M29" s="19"/>
      <c r="N29" s="19"/>
      <c r="O29" s="19"/>
      <c r="P29" s="19"/>
      <c r="Q29" t="str">
        <v/>
      </c>
    </row>
    <row r="30" spans="1:17" x14ac:dyDescent="0.25">
      <c r="A30" t="str">
        <f t="array" ref="A30:P30">""</f>
        <v/>
      </c>
      <c r="B30" t="str">
        <v/>
      </c>
      <c r="C30" t="str">
        <v/>
      </c>
      <c r="D30" t="str">
        <v/>
      </c>
      <c r="E30" t="str">
        <v/>
      </c>
      <c r="F30" t="str">
        <v/>
      </c>
      <c r="G30" t="str">
        <v/>
      </c>
      <c r="H30" t="str">
        <v/>
      </c>
      <c r="I30" t="str">
        <v/>
      </c>
      <c r="J30" t="str">
        <v/>
      </c>
      <c r="K30" t="str">
        <v/>
      </c>
      <c r="L30" t="str">
        <v/>
      </c>
      <c r="M30" t="str">
        <v/>
      </c>
      <c r="N30" t="str">
        <v/>
      </c>
      <c r="O30" t="str">
        <v/>
      </c>
      <c r="P30" t="str">
        <v/>
      </c>
      <c r="Q30" t="str">
        <v/>
      </c>
    </row>
  </sheetData>
  <dataValidations count="1">
    <dataValidation type="decimal" operator="greaterThan" showInputMessage="1" showErrorMessage="1" error="This cell must contain a positive number." sqref="C3 C5 F11 F16 F28 K15 J21">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SchmidtSS">
                <anchor moveWithCells="1" sizeWithCells="1">
                  <from>
                    <xdr:col>13</xdr:col>
                    <xdr:colOff>189781</xdr:colOff>
                    <xdr:row>1</xdr:row>
                    <xdr:rowOff>112143</xdr:rowOff>
                  </from>
                  <to>
                    <xdr:col>15</xdr:col>
                    <xdr:colOff>8626</xdr:colOff>
                    <xdr:row>4</xdr:row>
                    <xdr:rowOff>0</xdr:rowOff>
                  </to>
                </anchor>
              </controlPr>
            </control>
          </mc:Choice>
        </mc:AlternateContent>
        <mc:AlternateContent xmlns:mc="http://schemas.openxmlformats.org/markup-compatibility/2006">
          <mc:Choice Requires="x14">
            <control shapeId="3081" r:id="rId5" name="Button 9">
              <controlPr defaultSize="0" print="0" autoFill="0" autoPict="0" macro="[0]!ClearInputData">
                <anchor moveWithCells="1" sizeWithCells="1">
                  <from>
                    <xdr:col>14</xdr:col>
                    <xdr:colOff>448574</xdr:colOff>
                    <xdr:row>4</xdr:row>
                    <xdr:rowOff>103517</xdr:rowOff>
                  </from>
                  <to>
                    <xdr:col>15</xdr:col>
                    <xdr:colOff>8626</xdr:colOff>
                    <xdr:row>6</xdr:row>
                    <xdr:rowOff>60385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K19"/>
  <sheetViews>
    <sheetView workbookViewId="0">
      <selection activeCell="K25" sqref="K25"/>
    </sheetView>
  </sheetViews>
  <sheetFormatPr defaultRowHeight="14.3" x14ac:dyDescent="0.25"/>
  <cols>
    <col min="1" max="10" width="12.625" style="75" customWidth="1"/>
    <col min="11" max="11" width="59.5" style="75" customWidth="1"/>
  </cols>
  <sheetData>
    <row r="2" spans="1:11" ht="17" x14ac:dyDescent="0.35">
      <c r="A2" s="80" t="s">
        <v>78</v>
      </c>
      <c r="B2" s="80" t="s">
        <v>80</v>
      </c>
      <c r="C2" s="80" t="s">
        <v>87</v>
      </c>
      <c r="D2" s="80" t="s">
        <v>88</v>
      </c>
      <c r="E2" s="80" t="s">
        <v>81</v>
      </c>
      <c r="F2" s="80" t="s">
        <v>89</v>
      </c>
      <c r="G2" s="80" t="s">
        <v>82</v>
      </c>
      <c r="H2" s="80" t="s">
        <v>83</v>
      </c>
      <c r="I2" s="77"/>
      <c r="J2" s="80" t="s">
        <v>90</v>
      </c>
      <c r="K2" s="77" t="s">
        <v>98</v>
      </c>
    </row>
    <row r="3" spans="1:11" ht="16.3" x14ac:dyDescent="0.25">
      <c r="A3" s="78"/>
      <c r="B3" s="76" t="s">
        <v>8</v>
      </c>
      <c r="C3" s="76" t="s">
        <v>95</v>
      </c>
      <c r="D3" s="76" t="s">
        <v>96</v>
      </c>
      <c r="E3" s="76" t="s">
        <v>96</v>
      </c>
      <c r="F3" s="76" t="s">
        <v>96</v>
      </c>
      <c r="G3" s="76" t="s">
        <v>97</v>
      </c>
      <c r="H3" s="76" t="s">
        <v>97</v>
      </c>
      <c r="J3" s="76" t="s">
        <v>7</v>
      </c>
    </row>
    <row r="4" spans="1:11" x14ac:dyDescent="0.25">
      <c r="A4" s="75" t="s">
        <v>79</v>
      </c>
      <c r="B4" s="84">
        <v>1.56</v>
      </c>
      <c r="C4" s="83">
        <v>4190000</v>
      </c>
      <c r="D4" s="84">
        <v>19.87</v>
      </c>
      <c r="E4" s="84">
        <v>17.53</v>
      </c>
      <c r="F4" s="84">
        <v>16.21</v>
      </c>
      <c r="G4" s="84">
        <v>0.3</v>
      </c>
      <c r="H4" s="84">
        <v>0.7</v>
      </c>
      <c r="I4" s="84"/>
      <c r="J4" s="85">
        <v>8.0699999999999994E-2</v>
      </c>
      <c r="K4" s="75" t="s">
        <v>93</v>
      </c>
    </row>
    <row r="5" spans="1:11" x14ac:dyDescent="0.25">
      <c r="A5" s="86" t="s">
        <v>84</v>
      </c>
      <c r="B5" s="87">
        <v>0.59</v>
      </c>
      <c r="C5" s="88">
        <v>4190000</v>
      </c>
      <c r="D5" s="87">
        <v>18.100000000000001</v>
      </c>
      <c r="E5" s="87">
        <v>17.89</v>
      </c>
      <c r="F5" s="87">
        <v>15.12</v>
      </c>
      <c r="G5" s="87">
        <v>0.3</v>
      </c>
      <c r="H5" s="87">
        <v>0.6</v>
      </c>
      <c r="I5" s="87"/>
      <c r="J5" s="89">
        <v>-0.1046</v>
      </c>
      <c r="K5" s="86" t="s">
        <v>94</v>
      </c>
    </row>
    <row r="6" spans="1:11" x14ac:dyDescent="0.25">
      <c r="A6" s="75" t="s">
        <v>85</v>
      </c>
      <c r="B6" s="84">
        <v>0.59</v>
      </c>
      <c r="C6" s="83">
        <v>4120000</v>
      </c>
      <c r="D6" s="84">
        <v>18.100000000000001</v>
      </c>
      <c r="E6" s="84">
        <v>17.89</v>
      </c>
      <c r="F6" s="84">
        <v>17.920000000000002</v>
      </c>
      <c r="G6" s="84">
        <v>0.3</v>
      </c>
      <c r="H6" s="84">
        <v>0.6</v>
      </c>
      <c r="I6" s="84"/>
      <c r="J6" s="85" t="s">
        <v>100</v>
      </c>
      <c r="K6" s="75" t="s">
        <v>101</v>
      </c>
    </row>
    <row r="7" spans="1:11" x14ac:dyDescent="0.25">
      <c r="A7" s="86" t="s">
        <v>86</v>
      </c>
      <c r="B7" s="87">
        <v>1.56</v>
      </c>
      <c r="C7" s="88">
        <v>4120000</v>
      </c>
      <c r="D7" s="87">
        <v>1</v>
      </c>
      <c r="E7" s="87">
        <v>1.2</v>
      </c>
      <c r="F7" s="87">
        <v>16</v>
      </c>
      <c r="G7" s="87">
        <v>99</v>
      </c>
      <c r="H7" s="87">
        <v>100</v>
      </c>
      <c r="I7" s="87"/>
      <c r="J7" s="89" t="s">
        <v>100</v>
      </c>
      <c r="K7" s="86" t="s">
        <v>102</v>
      </c>
    </row>
    <row r="8" spans="1:11" x14ac:dyDescent="0.25">
      <c r="C8" s="83"/>
    </row>
    <row r="14" spans="1:11" ht="17" x14ac:dyDescent="0.35">
      <c r="A14" s="81" t="s">
        <v>91</v>
      </c>
      <c r="B14" s="81" t="s">
        <v>80</v>
      </c>
      <c r="C14" s="81" t="s">
        <v>87</v>
      </c>
      <c r="D14" s="81" t="s">
        <v>88</v>
      </c>
      <c r="E14" s="81" t="s">
        <v>81</v>
      </c>
      <c r="F14" s="81" t="s">
        <v>92</v>
      </c>
      <c r="G14" s="81" t="s">
        <v>82</v>
      </c>
      <c r="H14" s="81"/>
      <c r="I14" s="82"/>
      <c r="J14" s="81" t="s">
        <v>90</v>
      </c>
      <c r="K14" s="82" t="s">
        <v>98</v>
      </c>
    </row>
    <row r="15" spans="1:11" ht="16.3" x14ac:dyDescent="0.25">
      <c r="A15" s="78"/>
      <c r="B15" s="76" t="s">
        <v>8</v>
      </c>
      <c r="C15" s="76" t="s">
        <v>95</v>
      </c>
      <c r="D15" s="76" t="s">
        <v>96</v>
      </c>
      <c r="E15" s="76" t="s">
        <v>96</v>
      </c>
      <c r="F15" s="76" t="s">
        <v>96</v>
      </c>
      <c r="G15" s="76" t="s">
        <v>97</v>
      </c>
      <c r="H15" s="76"/>
      <c r="J15" s="79" t="s">
        <v>7</v>
      </c>
    </row>
    <row r="16" spans="1:11" x14ac:dyDescent="0.25">
      <c r="A16" s="75" t="s">
        <v>79</v>
      </c>
      <c r="B16" s="84">
        <v>0.7</v>
      </c>
      <c r="C16" s="83">
        <v>4190000</v>
      </c>
      <c r="D16" s="84">
        <v>25.36</v>
      </c>
      <c r="E16" s="84">
        <v>16.11</v>
      </c>
      <c r="F16" s="84">
        <v>12.98</v>
      </c>
      <c r="G16" s="84">
        <v>0.45</v>
      </c>
      <c r="H16" s="84"/>
      <c r="I16" s="84"/>
      <c r="J16" s="85">
        <v>4.41E-2</v>
      </c>
      <c r="K16" s="78" t="s">
        <v>93</v>
      </c>
    </row>
    <row r="17" spans="1:11" x14ac:dyDescent="0.25">
      <c r="A17" s="86" t="s">
        <v>84</v>
      </c>
      <c r="B17" s="87">
        <v>0.7</v>
      </c>
      <c r="C17" s="88">
        <v>4190000</v>
      </c>
      <c r="D17" s="87">
        <v>6.23</v>
      </c>
      <c r="E17" s="87">
        <v>7.54</v>
      </c>
      <c r="F17" s="87">
        <v>12.98</v>
      </c>
      <c r="G17" s="87">
        <v>0.45</v>
      </c>
      <c r="H17" s="87"/>
      <c r="I17" s="87"/>
      <c r="J17" s="89">
        <v>6.8999999999999999E-3</v>
      </c>
      <c r="K17" s="86" t="s">
        <v>93</v>
      </c>
    </row>
    <row r="18" spans="1:11" x14ac:dyDescent="0.25">
      <c r="A18" s="75" t="s">
        <v>85</v>
      </c>
      <c r="B18" s="84">
        <v>2.19</v>
      </c>
      <c r="C18" s="83">
        <v>4190000</v>
      </c>
      <c r="D18" s="84">
        <v>21.34</v>
      </c>
      <c r="E18" s="84">
        <v>11.56</v>
      </c>
      <c r="F18" s="84">
        <v>12.36</v>
      </c>
      <c r="G18" s="84">
        <v>0.75</v>
      </c>
      <c r="H18" s="84"/>
      <c r="I18" s="84"/>
      <c r="J18" s="85" t="s">
        <v>100</v>
      </c>
      <c r="K18" s="75" t="s">
        <v>101</v>
      </c>
    </row>
    <row r="19" spans="1:11" x14ac:dyDescent="0.25">
      <c r="A19" s="86" t="s">
        <v>86</v>
      </c>
      <c r="B19" s="87">
        <v>2.19</v>
      </c>
      <c r="C19" s="88">
        <v>4190000</v>
      </c>
      <c r="D19" s="87">
        <v>21.34</v>
      </c>
      <c r="E19" s="87">
        <v>21.34</v>
      </c>
      <c r="F19" s="87">
        <v>12.36</v>
      </c>
      <c r="G19" s="87">
        <v>0.75</v>
      </c>
      <c r="H19" s="87"/>
      <c r="I19" s="87"/>
      <c r="J19" s="89" t="s">
        <v>100</v>
      </c>
      <c r="K19" s="86" t="s">
        <v>101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9"/>
  <sheetViews>
    <sheetView workbookViewId="0">
      <selection activeCell="O14" sqref="O14"/>
    </sheetView>
  </sheetViews>
  <sheetFormatPr defaultRowHeight="14.3" x14ac:dyDescent="0.25"/>
  <cols>
    <col min="1" max="1" width="18.875" customWidth="1"/>
    <col min="2" max="2" width="21.875" customWidth="1"/>
    <col min="3" max="3" width="25.25" bestFit="1" customWidth="1"/>
    <col min="4" max="4" width="12.125" customWidth="1"/>
    <col min="5" max="5" width="7.125" customWidth="1"/>
  </cols>
  <sheetData>
    <row r="1" spans="1:7" ht="16.3" x14ac:dyDescent="0.3">
      <c r="A1" s="67" t="s">
        <v>23</v>
      </c>
    </row>
    <row r="2" spans="1:7" x14ac:dyDescent="0.25">
      <c r="C2" s="68"/>
      <c r="D2" s="69" t="s">
        <v>24</v>
      </c>
      <c r="E2" s="68"/>
    </row>
    <row r="3" spans="1:7" x14ac:dyDescent="0.25">
      <c r="A3" s="68"/>
      <c r="B3" s="68"/>
      <c r="D3" s="70" t="s">
        <v>25</v>
      </c>
      <c r="E3" s="68"/>
    </row>
    <row r="4" spans="1:7" x14ac:dyDescent="0.25">
      <c r="A4" s="70" t="s">
        <v>1</v>
      </c>
      <c r="B4" s="70" t="s">
        <v>1</v>
      </c>
      <c r="C4" s="69"/>
      <c r="D4" s="70" t="s">
        <v>26</v>
      </c>
      <c r="E4" s="68"/>
      <c r="G4" s="69"/>
    </row>
    <row r="5" spans="1:7" x14ac:dyDescent="0.25">
      <c r="A5" s="70" t="s">
        <v>27</v>
      </c>
      <c r="B5" s="70" t="s">
        <v>28</v>
      </c>
      <c r="C5" s="69" t="s">
        <v>29</v>
      </c>
      <c r="D5" s="70" t="s">
        <v>99</v>
      </c>
      <c r="E5" s="70" t="s">
        <v>30</v>
      </c>
      <c r="F5" s="69"/>
      <c r="G5" s="69"/>
    </row>
    <row r="6" spans="1:7" ht="32.950000000000003" customHeight="1" x14ac:dyDescent="0.25">
      <c r="A6" s="68" t="s">
        <v>31</v>
      </c>
      <c r="B6" s="68" t="s">
        <v>32</v>
      </c>
      <c r="C6" t="s">
        <v>33</v>
      </c>
      <c r="D6" s="68">
        <v>0.6</v>
      </c>
      <c r="E6" s="68" t="s">
        <v>34</v>
      </c>
    </row>
    <row r="7" spans="1:7" ht="32.950000000000003" customHeight="1" x14ac:dyDescent="0.25">
      <c r="A7" s="71" t="s">
        <v>35</v>
      </c>
      <c r="B7" s="71" t="s">
        <v>36</v>
      </c>
      <c r="C7" t="s">
        <v>37</v>
      </c>
      <c r="D7" s="72" t="s">
        <v>38</v>
      </c>
      <c r="E7" s="68" t="s">
        <v>39</v>
      </c>
    </row>
    <row r="8" spans="1:7" ht="32.950000000000003" customHeight="1" x14ac:dyDescent="0.25">
      <c r="A8" s="71" t="s">
        <v>40</v>
      </c>
      <c r="B8" s="71" t="s">
        <v>41</v>
      </c>
      <c r="C8" t="s">
        <v>42</v>
      </c>
      <c r="D8" s="72" t="s">
        <v>43</v>
      </c>
      <c r="E8" s="68">
        <v>11</v>
      </c>
    </row>
    <row r="9" spans="1:7" ht="32.950000000000003" customHeight="1" x14ac:dyDescent="0.25">
      <c r="A9" s="68" t="s">
        <v>44</v>
      </c>
      <c r="B9" s="68" t="s">
        <v>45</v>
      </c>
      <c r="C9" t="s">
        <v>42</v>
      </c>
      <c r="D9" s="72" t="s">
        <v>46</v>
      </c>
      <c r="E9" s="68">
        <v>7</v>
      </c>
    </row>
    <row r="10" spans="1:7" ht="32.950000000000003" customHeight="1" x14ac:dyDescent="0.25">
      <c r="A10" s="71" t="s">
        <v>47</v>
      </c>
      <c r="B10" s="71" t="s">
        <v>48</v>
      </c>
      <c r="C10" s="73" t="s">
        <v>42</v>
      </c>
      <c r="D10" s="72" t="s">
        <v>49</v>
      </c>
      <c r="E10" s="68">
        <v>3</v>
      </c>
    </row>
    <row r="11" spans="1:7" ht="32.950000000000003" customHeight="1" x14ac:dyDescent="0.25">
      <c r="A11" s="71" t="s">
        <v>50</v>
      </c>
      <c r="B11" s="71" t="s">
        <v>51</v>
      </c>
      <c r="C11" s="73" t="s">
        <v>42</v>
      </c>
      <c r="D11" s="72" t="s">
        <v>52</v>
      </c>
      <c r="E11" s="68">
        <v>10</v>
      </c>
    </row>
    <row r="12" spans="1:7" ht="32.950000000000003" customHeight="1" x14ac:dyDescent="0.25">
      <c r="A12" s="71" t="s">
        <v>53</v>
      </c>
      <c r="B12" s="71" t="s">
        <v>54</v>
      </c>
      <c r="C12" s="73" t="s">
        <v>42</v>
      </c>
      <c r="D12" s="72" t="s">
        <v>55</v>
      </c>
      <c r="E12" s="68">
        <v>9</v>
      </c>
    </row>
    <row r="13" spans="1:7" ht="32.950000000000003" customHeight="1" x14ac:dyDescent="0.25">
      <c r="A13" s="71" t="s">
        <v>53</v>
      </c>
      <c r="B13" s="71" t="s">
        <v>56</v>
      </c>
      <c r="C13" s="73" t="s">
        <v>42</v>
      </c>
      <c r="D13" s="72" t="s">
        <v>57</v>
      </c>
      <c r="E13" s="68">
        <v>9</v>
      </c>
    </row>
    <row r="14" spans="1:7" ht="32.950000000000003" customHeight="1" x14ac:dyDescent="0.25">
      <c r="A14" s="71" t="s">
        <v>58</v>
      </c>
      <c r="B14" s="71" t="s">
        <v>56</v>
      </c>
      <c r="C14" s="73" t="s">
        <v>42</v>
      </c>
      <c r="D14" s="72" t="s">
        <v>59</v>
      </c>
      <c r="E14" s="68">
        <v>3</v>
      </c>
    </row>
    <row r="15" spans="1:7" ht="32.950000000000003" customHeight="1" x14ac:dyDescent="0.25">
      <c r="A15" s="71" t="s">
        <v>60</v>
      </c>
      <c r="B15" s="71" t="s">
        <v>61</v>
      </c>
      <c r="C15" s="73" t="s">
        <v>62</v>
      </c>
      <c r="D15" s="68">
        <v>1.9</v>
      </c>
      <c r="E15" s="68">
        <v>5</v>
      </c>
    </row>
    <row r="16" spans="1:7" ht="32.950000000000003" customHeight="1" x14ac:dyDescent="0.25">
      <c r="A16" s="71" t="s">
        <v>63</v>
      </c>
      <c r="B16" s="71" t="s">
        <v>61</v>
      </c>
      <c r="C16" s="73" t="s">
        <v>64</v>
      </c>
      <c r="D16" s="72" t="s">
        <v>65</v>
      </c>
      <c r="E16" s="68">
        <v>6</v>
      </c>
    </row>
    <row r="17" spans="1:13" x14ac:dyDescent="0.25">
      <c r="A17" s="68"/>
      <c r="C17" s="68"/>
      <c r="E17" s="68"/>
    </row>
    <row r="18" spans="1:13" x14ac:dyDescent="0.25">
      <c r="A18" s="70" t="s">
        <v>66</v>
      </c>
      <c r="C18" s="68"/>
      <c r="E18" s="68"/>
    </row>
    <row r="19" spans="1:13" ht="31.6" customHeight="1" x14ac:dyDescent="0.25">
      <c r="A19" s="74">
        <v>1</v>
      </c>
      <c r="B19" s="90" t="s">
        <v>67</v>
      </c>
      <c r="C19" s="90"/>
      <c r="D19" s="90"/>
      <c r="E19" s="90"/>
      <c r="F19" s="90"/>
      <c r="G19" s="90"/>
      <c r="H19" s="90"/>
      <c r="I19" s="90"/>
      <c r="J19" s="90"/>
      <c r="K19" s="90"/>
      <c r="L19" s="90"/>
      <c r="M19" s="90"/>
    </row>
    <row r="20" spans="1:13" ht="31.6" customHeight="1" x14ac:dyDescent="0.25">
      <c r="A20" s="74">
        <v>2</v>
      </c>
      <c r="B20" s="90" t="s">
        <v>68</v>
      </c>
      <c r="C20" s="90"/>
      <c r="D20" s="90"/>
      <c r="E20" s="90"/>
      <c r="F20" s="90"/>
      <c r="G20" s="90"/>
      <c r="H20" s="90"/>
      <c r="I20" s="90"/>
      <c r="J20" s="90"/>
      <c r="K20" s="90"/>
      <c r="L20" s="90"/>
      <c r="M20" s="90"/>
    </row>
    <row r="21" spans="1:13" ht="31.6" customHeight="1" x14ac:dyDescent="0.25">
      <c r="A21" s="74">
        <v>3</v>
      </c>
      <c r="B21" s="90" t="s">
        <v>69</v>
      </c>
      <c r="C21" s="90"/>
      <c r="D21" s="90"/>
      <c r="E21" s="90"/>
      <c r="F21" s="90"/>
      <c r="G21" s="90"/>
      <c r="H21" s="90"/>
      <c r="I21" s="90"/>
      <c r="J21" s="90"/>
      <c r="K21" s="90"/>
      <c r="L21" s="90"/>
      <c r="M21" s="90"/>
    </row>
    <row r="22" spans="1:13" ht="31.6" customHeight="1" x14ac:dyDescent="0.25">
      <c r="A22" s="74">
        <v>4</v>
      </c>
      <c r="B22" s="90" t="s">
        <v>70</v>
      </c>
      <c r="C22" s="90"/>
      <c r="D22" s="90"/>
      <c r="E22" s="90"/>
      <c r="F22" s="90"/>
      <c r="G22" s="90"/>
      <c r="H22" s="90"/>
      <c r="I22" s="90"/>
      <c r="J22" s="90"/>
      <c r="K22" s="90"/>
      <c r="L22" s="90"/>
      <c r="M22" s="90"/>
    </row>
    <row r="23" spans="1:13" ht="31.6" customHeight="1" x14ac:dyDescent="0.25">
      <c r="A23" s="74">
        <v>5</v>
      </c>
      <c r="B23" s="90" t="s">
        <v>71</v>
      </c>
      <c r="C23" s="90"/>
      <c r="D23" s="90"/>
      <c r="E23" s="90"/>
      <c r="F23" s="90"/>
      <c r="G23" s="90"/>
      <c r="H23" s="90"/>
      <c r="I23" s="90"/>
      <c r="J23" s="90"/>
      <c r="K23" s="90"/>
      <c r="L23" s="90"/>
      <c r="M23" s="90"/>
    </row>
    <row r="24" spans="1:13" ht="31.6" customHeight="1" x14ac:dyDescent="0.25">
      <c r="A24" s="74">
        <v>6</v>
      </c>
      <c r="B24" s="90" t="s">
        <v>72</v>
      </c>
      <c r="C24" s="90"/>
      <c r="D24" s="90"/>
      <c r="E24" s="90"/>
      <c r="F24" s="90"/>
      <c r="G24" s="90"/>
      <c r="H24" s="90"/>
      <c r="I24" s="90"/>
      <c r="J24" s="90"/>
      <c r="K24" s="90"/>
      <c r="L24" s="90"/>
      <c r="M24" s="90"/>
    </row>
    <row r="25" spans="1:13" ht="31.6" customHeight="1" x14ac:dyDescent="0.25">
      <c r="A25" s="74">
        <v>7</v>
      </c>
      <c r="B25" s="90" t="s">
        <v>73</v>
      </c>
      <c r="C25" s="90"/>
      <c r="D25" s="90"/>
      <c r="E25" s="90"/>
      <c r="F25" s="90"/>
      <c r="G25" s="90"/>
      <c r="H25" s="90"/>
      <c r="I25" s="90"/>
      <c r="J25" s="90"/>
      <c r="K25" s="90"/>
      <c r="L25" s="90"/>
      <c r="M25" s="90"/>
    </row>
    <row r="26" spans="1:13" ht="31.6" customHeight="1" x14ac:dyDescent="0.25">
      <c r="A26" s="74">
        <v>8</v>
      </c>
      <c r="B26" s="90" t="s">
        <v>74</v>
      </c>
      <c r="C26" s="90"/>
      <c r="D26" s="90"/>
      <c r="E26" s="90"/>
      <c r="F26" s="90"/>
      <c r="G26" s="90"/>
      <c r="H26" s="90"/>
      <c r="I26" s="90"/>
      <c r="J26" s="90"/>
      <c r="K26" s="90"/>
      <c r="L26" s="90"/>
      <c r="M26" s="90"/>
    </row>
    <row r="27" spans="1:13" ht="31.6" customHeight="1" x14ac:dyDescent="0.25">
      <c r="A27" s="74">
        <v>9</v>
      </c>
      <c r="B27" s="90" t="s">
        <v>75</v>
      </c>
      <c r="C27" s="90"/>
      <c r="D27" s="90"/>
      <c r="E27" s="90"/>
      <c r="F27" s="90"/>
      <c r="G27" s="90"/>
      <c r="H27" s="90"/>
      <c r="I27" s="90"/>
      <c r="J27" s="90"/>
      <c r="K27" s="90"/>
      <c r="L27" s="90"/>
      <c r="M27" s="90"/>
    </row>
    <row r="28" spans="1:13" ht="31.6" customHeight="1" x14ac:dyDescent="0.25">
      <c r="A28" s="74">
        <v>10</v>
      </c>
      <c r="B28" s="91" t="s">
        <v>76</v>
      </c>
      <c r="C28" s="91"/>
      <c r="D28" s="91"/>
      <c r="E28" s="91"/>
      <c r="F28" s="91"/>
      <c r="G28" s="91"/>
      <c r="H28" s="91"/>
      <c r="I28" s="91"/>
      <c r="J28" s="91"/>
      <c r="K28" s="91"/>
      <c r="L28" s="91"/>
      <c r="M28" s="91"/>
    </row>
    <row r="29" spans="1:13" ht="31.6" customHeight="1" x14ac:dyDescent="0.25">
      <c r="A29" s="74">
        <v>11</v>
      </c>
      <c r="B29" s="91" t="s">
        <v>77</v>
      </c>
      <c r="C29" s="91"/>
      <c r="D29" s="91"/>
      <c r="E29" s="91"/>
      <c r="F29" s="91"/>
      <c r="G29" s="91"/>
      <c r="H29" s="91"/>
      <c r="I29" s="91"/>
      <c r="J29" s="91"/>
      <c r="K29" s="91"/>
      <c r="L29" s="91"/>
      <c r="M29" s="91"/>
    </row>
  </sheetData>
  <mergeCells count="11">
    <mergeCell ref="B24:M24"/>
    <mergeCell ref="B19:M19"/>
    <mergeCell ref="B20:M20"/>
    <mergeCell ref="B21:M21"/>
    <mergeCell ref="B22:M22"/>
    <mergeCell ref="B23:M23"/>
    <mergeCell ref="B25:M25"/>
    <mergeCell ref="B26:M26"/>
    <mergeCell ref="B27:M27"/>
    <mergeCell ref="B28:M28"/>
    <mergeCell ref="B29:M29"/>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showRowColHeaders="0" workbookViewId="0">
      <selection activeCell="F31" sqref="F31"/>
    </sheetView>
  </sheetViews>
  <sheetFormatPr defaultRowHeight="14.3"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 Me</vt:lpstr>
      <vt:lpstr>Tutorial</vt:lpstr>
      <vt:lpstr>Bredehoeft</vt:lpstr>
      <vt:lpstr>Schmidt</vt:lpstr>
      <vt:lpstr>Test Data</vt:lpstr>
      <vt:lpstr>Parameter Metadata</vt:lpstr>
      <vt:lpstr>Contacts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ctsuser</dc:creator>
  <cp:lastModifiedBy>ctsuser</cp:lastModifiedBy>
  <dcterms:created xsi:type="dcterms:W3CDTF">2015-07-21T21:16:48Z</dcterms:created>
  <dcterms:modified xsi:type="dcterms:W3CDTF">2017-04-10T21:37:58Z</dcterms:modified>
</cp:coreProperties>
</file>